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97ff7558958be30/PROFESSIONAL DOCS/"/>
    </mc:Choice>
  </mc:AlternateContent>
  <xr:revisionPtr revIDLastSave="0" documentId="8_{DABB9FBD-1DE3-4A3F-ABBA-758689571B09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shboard" sheetId="1" r:id="rId1"/>
    <sheet name="Project Management Dat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4" i="1" l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C35" i="1"/>
  <c r="C34" i="1"/>
  <c r="C33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H10" i="1"/>
  <c r="F10" i="1"/>
  <c r="D10" i="1"/>
  <c r="B10" i="1"/>
  <c r="H6" i="1"/>
  <c r="F6" i="1"/>
  <c r="D6" i="1"/>
  <c r="B6" i="1"/>
</calcChain>
</file>

<file path=xl/sharedStrings.xml><?xml version="1.0" encoding="utf-8"?>
<sst xmlns="http://schemas.openxmlformats.org/spreadsheetml/2006/main" count="187" uniqueCount="136">
  <si>
    <t>Project Management Dashboard</t>
  </si>
  <si>
    <t>Source data: "Project Management Data"  |  Live formulas — refresh automatically when source data changes</t>
  </si>
  <si>
    <t>TOTAL PROJECTS</t>
  </si>
  <si>
    <t>TOTAL TASKS</t>
  </si>
  <si>
    <t>AVG PROGRESS</t>
  </si>
  <si>
    <t>COMPLETED TASKS</t>
  </si>
  <si>
    <t>NOT STARTED TASKS</t>
  </si>
  <si>
    <t>OVERDUE TASKS</t>
  </si>
  <si>
    <t>TOTAL EFFORT (DAYS)</t>
  </si>
  <si>
    <t>AVG TASK DURATION</t>
  </si>
  <si>
    <t>Project Breakdown</t>
  </si>
  <si>
    <t>Project</t>
  </si>
  <si>
    <t>Task Count</t>
  </si>
  <si>
    <t>Avg Progress</t>
  </si>
  <si>
    <t>Total Effort (Days)</t>
  </si>
  <si>
    <t>Marketing</t>
  </si>
  <si>
    <t>Product Dev</t>
  </si>
  <si>
    <t>Customer Svc</t>
  </si>
  <si>
    <t>Financial</t>
  </si>
  <si>
    <t>Research</t>
  </si>
  <si>
    <t>Development</t>
  </si>
  <si>
    <t>Production</t>
  </si>
  <si>
    <t>Sales</t>
  </si>
  <si>
    <t>Support</t>
  </si>
  <si>
    <t>Operations</t>
  </si>
  <si>
    <t>Consulting</t>
  </si>
  <si>
    <t>Training</t>
  </si>
  <si>
    <t>Events</t>
  </si>
  <si>
    <t>Logistics</t>
  </si>
  <si>
    <t>Engineering</t>
  </si>
  <si>
    <t>Task Status</t>
  </si>
  <si>
    <t>Status</t>
  </si>
  <si>
    <t>Count</t>
  </si>
  <si>
    <t>Completed</t>
  </si>
  <si>
    <t>In Progress</t>
  </si>
  <si>
    <t>Not Started</t>
  </si>
  <si>
    <t>Task Timeline (Gantt)</t>
  </si>
  <si>
    <t>Task</t>
  </si>
  <si>
    <t>Start Date</t>
  </si>
  <si>
    <t>Duration (Days)</t>
  </si>
  <si>
    <t>Excel Sample Data</t>
  </si>
  <si>
    <t>Project Management Data</t>
  </si>
  <si>
    <t>Project Name</t>
  </si>
  <si>
    <t>Task Name</t>
  </si>
  <si>
    <t>Assigned to</t>
  </si>
  <si>
    <t>Days Required</t>
  </si>
  <si>
    <t>End Date</t>
  </si>
  <si>
    <t>Progress</t>
  </si>
  <si>
    <t>Market Research</t>
  </si>
  <si>
    <t>Alice</t>
  </si>
  <si>
    <t>Content Creation</t>
  </si>
  <si>
    <t>Bob</t>
  </si>
  <si>
    <t>Social Media Planning</t>
  </si>
  <si>
    <t>Charlie</t>
  </si>
  <si>
    <t>Campaign Analysis</t>
  </si>
  <si>
    <t>Daisy</t>
  </si>
  <si>
    <t>Prototype Development</t>
  </si>
  <si>
    <t>Ethan</t>
  </si>
  <si>
    <t>Quality Assurance</t>
  </si>
  <si>
    <t>Fiona</t>
  </si>
  <si>
    <t>User Interface Design</t>
  </si>
  <si>
    <t>Gabriel</t>
  </si>
  <si>
    <t>Service Improvement</t>
  </si>
  <si>
    <t>Hannah</t>
  </si>
  <si>
    <t>Ticket Resolution</t>
  </si>
  <si>
    <t>Ian</t>
  </si>
  <si>
    <t>Customer Feedback</t>
  </si>
  <si>
    <t>Julia</t>
  </si>
  <si>
    <t>Budget Analysis</t>
  </si>
  <si>
    <t>Kevin</t>
  </si>
  <si>
    <t>Financial Reporting</t>
  </si>
  <si>
    <t>Mark</t>
  </si>
  <si>
    <t>Investment Planning</t>
  </si>
  <si>
    <t>Market Trends Analysis</t>
  </si>
  <si>
    <t>Nathan</t>
  </si>
  <si>
    <t>Data Collection</t>
  </si>
  <si>
    <t>Olivia</t>
  </si>
  <si>
    <t>Research Paper Writing</t>
  </si>
  <si>
    <t>Peter</t>
  </si>
  <si>
    <t>Software Development</t>
  </si>
  <si>
    <t>Quinn</t>
  </si>
  <si>
    <t>Feature Enhancement</t>
  </si>
  <si>
    <t>Rachel</t>
  </si>
  <si>
    <t>Code Review</t>
  </si>
  <si>
    <t>Sam</t>
  </si>
  <si>
    <t>Manufacturing</t>
  </si>
  <si>
    <t>Tim</t>
  </si>
  <si>
    <t>Quality Control</t>
  </si>
  <si>
    <t>Ursula</t>
  </si>
  <si>
    <t>Packaging Design</t>
  </si>
  <si>
    <t>Victor</t>
  </si>
  <si>
    <t>Lead Generation</t>
  </si>
  <si>
    <t>Wendy</t>
  </si>
  <si>
    <t>Client Meetings</t>
  </si>
  <si>
    <t>Xavier</t>
  </si>
  <si>
    <t>Contract Negotiation</t>
  </si>
  <si>
    <t>Yvette</t>
  </si>
  <si>
    <t>Technical Support</t>
  </si>
  <si>
    <t>Zoe</t>
  </si>
  <si>
    <t>Bug Fixes</t>
  </si>
  <si>
    <t>Aaron</t>
  </si>
  <si>
    <t>Software Updates</t>
  </si>
  <si>
    <t>Bella</t>
  </si>
  <si>
    <t>Process Optimization</t>
  </si>
  <si>
    <t>Calvin</t>
  </si>
  <si>
    <t>Inventory Management</t>
  </si>
  <si>
    <t>Diane</t>
  </si>
  <si>
    <t>Facility Maintenance</t>
  </si>
  <si>
    <t>Edward</t>
  </si>
  <si>
    <t>Strategic Planning</t>
  </si>
  <si>
    <t>Market Expansion</t>
  </si>
  <si>
    <t>Gary</t>
  </si>
  <si>
    <t>Client Advisory</t>
  </si>
  <si>
    <t>Helen</t>
  </si>
  <si>
    <t>Employee Training</t>
  </si>
  <si>
    <t>Isaac</t>
  </si>
  <si>
    <t>Certification Programs</t>
  </si>
  <si>
    <t>Jane</t>
  </si>
  <si>
    <t>Skill Development</t>
  </si>
  <si>
    <t>Kyle</t>
  </si>
  <si>
    <t>Event Planning</t>
  </si>
  <si>
    <t>Laura</t>
  </si>
  <si>
    <t>Conference Management</t>
  </si>
  <si>
    <t>Mike</t>
  </si>
  <si>
    <t>Sponsorship Coordinatio</t>
  </si>
  <si>
    <t>n Nancy</t>
  </si>
  <si>
    <t>Supply Chain Management</t>
  </si>
  <si>
    <t>Oscar</t>
  </si>
  <si>
    <t>Transportation Planning</t>
  </si>
  <si>
    <t>Patricia</t>
  </si>
  <si>
    <t>Inventory Optimization</t>
  </si>
  <si>
    <t>Quentin</t>
  </si>
  <si>
    <t>Product Design</t>
  </si>
  <si>
    <t>System Integration</t>
  </si>
  <si>
    <t>Prototype Testing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</si>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</sst>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yyyy\-mm\-dd"/>
    <numFmt numFmtId="167" formatCode="m/d/yyyy"/>
  </numFmts>
  <fonts count="13" x14ac:knownFonts="1">
    <font>
      <sz val="11"/>
      <color theme="1"/>
      <name val="Aptos Narrow"/>
      <family val="2"/>
      <charset val="1"/>
    </font>
    <font>
      <b/>
      <sz val="20"/>
      <color rgb="FF1F2937"/>
      <name val="Arial"/>
      <charset val="1"/>
    </font>
    <font>
      <i/>
      <sz val="10"/>
      <color rgb="FF6B7280"/>
      <name val="Arial"/>
      <charset val="1"/>
    </font>
    <font>
      <b/>
      <sz val="10"/>
      <color rgb="FF6B7280"/>
      <name val="Arial"/>
      <charset val="1"/>
    </font>
    <font>
      <b/>
      <sz val="24"/>
      <color rgb="FF2563EB"/>
      <name val="Arial"/>
      <charset val="1"/>
    </font>
    <font>
      <b/>
      <sz val="13"/>
      <color rgb="FF1F2937"/>
      <name val="Arial"/>
      <charset val="1"/>
    </font>
    <font>
      <b/>
      <sz val="10"/>
      <color rgb="FFFFFFFF"/>
      <name val="Arial"/>
      <charset val="1"/>
    </font>
    <font>
      <sz val="11"/>
      <color theme="1"/>
      <name val="Calibri"/>
      <family val="2"/>
      <charset val="1"/>
    </font>
    <font>
      <b/>
      <sz val="14"/>
      <color rgb="FF272760"/>
      <name val="Calibri"/>
      <family val="2"/>
      <charset val="1"/>
    </font>
    <font>
      <b/>
      <sz val="13"/>
      <color rgb="FF27276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3F4F6"/>
        <bgColor rgb="FFF9FAFB"/>
      </patternFill>
    </fill>
    <fill>
      <patternFill patternType="solid">
        <fgColor rgb="FF2563EB"/>
        <bgColor rgb="FF0066CC"/>
      </patternFill>
    </fill>
    <fill>
      <patternFill patternType="solid">
        <fgColor rgb="FFF9FAFB"/>
        <bgColor rgb="FFFFFFFF"/>
      </patternFill>
    </fill>
    <fill>
      <patternFill patternType="solid">
        <fgColor rgb="FFD9E1F2"/>
        <bgColor rgb="FFD9D9D9"/>
      </patternFill>
    </fill>
    <fill>
      <patternFill patternType="solid">
        <fgColor rgb="FF272760"/>
        <bgColor rgb="FF1F2937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2" fillId="0" borderId="0"/>
  </cellStyleXfs>
  <cellXfs count="27">
    <xf numFmtId="0" fontId="0" fillId="0" borderId="0" xfId="0"/>
    <xf numFmtId="0" fontId="9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5" fillId="0" borderId="0" xfId="0" applyFont="1"/>
    <xf numFmtId="165" fontId="4" fillId="2" borderId="0" xfId="0" applyNumberFormat="1" applyFont="1" applyFill="1" applyAlignment="1">
      <alignment horizontal="left" vertical="center"/>
    </xf>
    <xf numFmtId="3" fontId="4" fillId="2" borderId="0" xfId="0" applyNumberFormat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1" fontId="4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/>
    <xf numFmtId="0" fontId="1" fillId="0" borderId="0" xfId="0" applyFont="1"/>
    <xf numFmtId="0" fontId="6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0" fontId="0" fillId="4" borderId="1" xfId="0" applyFill="1" applyBorder="1"/>
    <xf numFmtId="164" fontId="0" fillId="4" borderId="1" xfId="0" applyNumberFormat="1" applyFill="1" applyBorder="1"/>
    <xf numFmtId="3" fontId="0" fillId="4" borderId="1" xfId="0" applyNumberFormat="1" applyFill="1" applyBorder="1"/>
    <xf numFmtId="0" fontId="6" fillId="3" borderId="0" xfId="0" applyFont="1" applyFill="1"/>
    <xf numFmtId="0" fontId="6" fillId="3" borderId="1" xfId="0" applyFont="1" applyFill="1" applyBorder="1"/>
    <xf numFmtId="166" fontId="0" fillId="0" borderId="1" xfId="0" applyNumberFormat="1" applyBorder="1"/>
    <xf numFmtId="166" fontId="0" fillId="4" borderId="1" xfId="0" applyNumberFormat="1" applyFill="1" applyBorder="1"/>
    <xf numFmtId="0" fontId="7" fillId="0" borderId="0" xfId="0" applyFont="1"/>
    <xf numFmtId="0" fontId="10" fillId="6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167" fontId="11" fillId="0" borderId="3" xfId="0" applyNumberFormat="1" applyFont="1" applyBorder="1" applyAlignment="1">
      <alignment vertical="center"/>
    </xf>
    <xf numFmtId="9" fontId="11" fillId="0" borderId="3" xfId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D9D9D9"/>
      <rgbColor rgb="FF8B8B8B"/>
      <rgbColor rgb="FF9999FF"/>
      <rgbColor rgb="FF993366"/>
      <rgbColor rgb="FFF9FAFB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EEA18B"/>
      <rgbColor rgb="FFCC99FF"/>
      <rgbColor rgb="FFFFCC99"/>
      <rgbColor rgb="FF2563EB"/>
      <rgbColor rgb="FF33CCCC"/>
      <rgbColor rgb="FF99CC00"/>
      <rgbColor rgb="FFFFCC00"/>
      <rgbColor rgb="FFFF9900"/>
      <rgbColor rgb="FFE97132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272760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Average Progress by Project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Dashboard!$D$14</c:f>
              <c:strCache>
                <c:ptCount val="1"/>
                <c:pt idx="0">
                  <c:v>Avg Progress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Dashboard!$B$15:$B$29</c:f>
              <c:strCache>
                <c:ptCount val="15"/>
                <c:pt idx="0">
                  <c:v>Marketing</c:v>
                </c:pt>
                <c:pt idx="1">
                  <c:v>Product Dev</c:v>
                </c:pt>
                <c:pt idx="2">
                  <c:v>Customer Svc</c:v>
                </c:pt>
                <c:pt idx="3">
                  <c:v>Financial</c:v>
                </c:pt>
                <c:pt idx="4">
                  <c:v>Research</c:v>
                </c:pt>
                <c:pt idx="5">
                  <c:v>Development</c:v>
                </c:pt>
                <c:pt idx="6">
                  <c:v>Production</c:v>
                </c:pt>
                <c:pt idx="7">
                  <c:v>Sales</c:v>
                </c:pt>
                <c:pt idx="8">
                  <c:v>Support</c:v>
                </c:pt>
                <c:pt idx="9">
                  <c:v>Operations</c:v>
                </c:pt>
                <c:pt idx="10">
                  <c:v>Consulting</c:v>
                </c:pt>
                <c:pt idx="11">
                  <c:v>Training</c:v>
                </c:pt>
                <c:pt idx="12">
                  <c:v>Events</c:v>
                </c:pt>
                <c:pt idx="13">
                  <c:v>Logistics</c:v>
                </c:pt>
                <c:pt idx="14">
                  <c:v>Engineering</c:v>
                </c:pt>
              </c:strCache>
            </c:strRef>
          </c:cat>
          <c:val>
            <c:numRef>
              <c:f>Dashboard!$D$15:$D$29</c:f>
              <c:numCache>
                <c:formatCode>0.0%</c:formatCode>
                <c:ptCount val="15"/>
                <c:pt idx="0">
                  <c:v>0.5575</c:v>
                </c:pt>
                <c:pt idx="1">
                  <c:v>0.59333333333333338</c:v>
                </c:pt>
                <c:pt idx="2">
                  <c:v>0.66666666666666663</c:v>
                </c:pt>
                <c:pt idx="3">
                  <c:v>0.62666666666666659</c:v>
                </c:pt>
                <c:pt idx="4">
                  <c:v>0.16666666666666666</c:v>
                </c:pt>
                <c:pt idx="5">
                  <c:v>0.33333333333333331</c:v>
                </c:pt>
                <c:pt idx="6">
                  <c:v>9.9999999999999992E-2</c:v>
                </c:pt>
                <c:pt idx="7">
                  <c:v>0.49333333333333335</c:v>
                </c:pt>
                <c:pt idx="8">
                  <c:v>0.66666666666666663</c:v>
                </c:pt>
                <c:pt idx="9">
                  <c:v>0.13333333333333333</c:v>
                </c:pt>
                <c:pt idx="10">
                  <c:v>0.19999999999999998</c:v>
                </c:pt>
                <c:pt idx="11">
                  <c:v>0.26666666666666666</c:v>
                </c:pt>
                <c:pt idx="12">
                  <c:v>9.9999999999999992E-2</c:v>
                </c:pt>
                <c:pt idx="13">
                  <c:v>0.5</c:v>
                </c:pt>
                <c:pt idx="14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2-4E7F-B0B4-8B5074CE2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941959"/>
        <c:axId val="5081059"/>
      </c:barChart>
      <c:catAx>
        <c:axId val="53941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5081059"/>
        <c:crosses val="autoZero"/>
        <c:auto val="1"/>
        <c:lblAlgn val="ctr"/>
        <c:lblOffset val="100"/>
        <c:noMultiLvlLbl val="0"/>
      </c:catAx>
      <c:valAx>
        <c:axId val="5081059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Progress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539419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sz="1800" b="1" strike="noStrike" spc="-1">
                <a:solidFill>
                  <a:srgbClr val="000000"/>
                </a:solidFill>
                <a:latin typeface="Aptos Narrow"/>
              </a:rPr>
              <a:t>Total Effort (Days) by Project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Dashboard!$E$14</c:f>
              <c:strCache>
                <c:ptCount val="1"/>
                <c:pt idx="0">
                  <c:v>Total Effort (Days)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Dashboard!$B$15:$B$29</c:f>
              <c:strCache>
                <c:ptCount val="15"/>
                <c:pt idx="0">
                  <c:v>Marketing</c:v>
                </c:pt>
                <c:pt idx="1">
                  <c:v>Product Dev</c:v>
                </c:pt>
                <c:pt idx="2">
                  <c:v>Customer Svc</c:v>
                </c:pt>
                <c:pt idx="3">
                  <c:v>Financial</c:v>
                </c:pt>
                <c:pt idx="4">
                  <c:v>Research</c:v>
                </c:pt>
                <c:pt idx="5">
                  <c:v>Development</c:v>
                </c:pt>
                <c:pt idx="6">
                  <c:v>Production</c:v>
                </c:pt>
                <c:pt idx="7">
                  <c:v>Sales</c:v>
                </c:pt>
                <c:pt idx="8">
                  <c:v>Support</c:v>
                </c:pt>
                <c:pt idx="9">
                  <c:v>Operations</c:v>
                </c:pt>
                <c:pt idx="10">
                  <c:v>Consulting</c:v>
                </c:pt>
                <c:pt idx="11">
                  <c:v>Training</c:v>
                </c:pt>
                <c:pt idx="12">
                  <c:v>Events</c:v>
                </c:pt>
                <c:pt idx="13">
                  <c:v>Logistics</c:v>
                </c:pt>
                <c:pt idx="14">
                  <c:v>Engineering</c:v>
                </c:pt>
              </c:strCache>
            </c:strRef>
          </c:cat>
          <c:val>
            <c:numRef>
              <c:f>Dashboard!$E$15:$E$29</c:f>
              <c:numCache>
                <c:formatCode>#,##0</c:formatCode>
                <c:ptCount val="15"/>
                <c:pt idx="0">
                  <c:v>74</c:v>
                </c:pt>
                <c:pt idx="1">
                  <c:v>53</c:v>
                </c:pt>
                <c:pt idx="2">
                  <c:v>77</c:v>
                </c:pt>
                <c:pt idx="3">
                  <c:v>68</c:v>
                </c:pt>
                <c:pt idx="4">
                  <c:v>82</c:v>
                </c:pt>
                <c:pt idx="5">
                  <c:v>100</c:v>
                </c:pt>
                <c:pt idx="6">
                  <c:v>96</c:v>
                </c:pt>
                <c:pt idx="7">
                  <c:v>115</c:v>
                </c:pt>
                <c:pt idx="8">
                  <c:v>78</c:v>
                </c:pt>
                <c:pt idx="9">
                  <c:v>75</c:v>
                </c:pt>
                <c:pt idx="10">
                  <c:v>92</c:v>
                </c:pt>
                <c:pt idx="11">
                  <c:v>79</c:v>
                </c:pt>
                <c:pt idx="12">
                  <c:v>80</c:v>
                </c:pt>
                <c:pt idx="13">
                  <c:v>75</c:v>
                </c:pt>
                <c:pt idx="14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1-46A9-A53A-908C33310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215452"/>
        <c:axId val="41701416"/>
      </c:barChart>
      <c:catAx>
        <c:axId val="792154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1701416"/>
        <c:crosses val="autoZero"/>
        <c:auto val="1"/>
        <c:lblAlgn val="ctr"/>
        <c:lblOffset val="100"/>
        <c:noMultiLvlLbl val="0"/>
      </c:catAx>
      <c:valAx>
        <c:axId val="41701416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ptos Narrow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92154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sz="1800" b="1" strike="noStrike" spc="-1">
                <a:solidFill>
                  <a:srgbClr val="000000"/>
                </a:solidFill>
                <a:latin typeface="Aptos Narrow"/>
              </a:rPr>
              <a:t>Task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Dashboard!$C$32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179-4E8F-A9C6-020DEABAE102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179-4E8F-A9C6-020DEABAE102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179-4E8F-A9C6-020DEABAE10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179-4E8F-A9C6-020DEABAE10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179-4E8F-A9C6-020DEABAE10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179-4E8F-A9C6-020DEABAE1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Dashboard!$B$33:$B$35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Dashboard!$C$33:$C$35</c:f>
              <c:numCache>
                <c:formatCode>General</c:formatCode>
                <c:ptCount val="3"/>
                <c:pt idx="0">
                  <c:v>9</c:v>
                </c:pt>
                <c:pt idx="1">
                  <c:v>15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79-4E8F-A9C6-020DEABAE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sz="1800" b="1" strike="noStrike" spc="-1">
                <a:solidFill>
                  <a:srgbClr val="000000"/>
                </a:solidFill>
                <a:latin typeface="Aptos Narrow"/>
              </a:rPr>
              <a:t>Task Timeline (Gantt)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Dashboard!$C$38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Dashboard!$B$39:$B$84</c:f>
              <c:strCache>
                <c:ptCount val="46"/>
                <c:pt idx="0">
                  <c:v>Market Research</c:v>
                </c:pt>
                <c:pt idx="1">
                  <c:v>Technical Support</c:v>
                </c:pt>
                <c:pt idx="2">
                  <c:v>Prototype Development</c:v>
                </c:pt>
                <c:pt idx="3">
                  <c:v>Market Trends Analysis</c:v>
                </c:pt>
                <c:pt idx="4">
                  <c:v>Software Development</c:v>
                </c:pt>
                <c:pt idx="5">
                  <c:v>Strategic Planning</c:v>
                </c:pt>
                <c:pt idx="6">
                  <c:v>Product Design</c:v>
                </c:pt>
                <c:pt idx="7">
                  <c:v>Manufacturing</c:v>
                </c:pt>
                <c:pt idx="8">
                  <c:v>Lead Generation</c:v>
                </c:pt>
                <c:pt idx="9">
                  <c:v>Process Optimization</c:v>
                </c:pt>
                <c:pt idx="10">
                  <c:v>Event Planning</c:v>
                </c:pt>
                <c:pt idx="11">
                  <c:v>Supply Chain Management</c:v>
                </c:pt>
                <c:pt idx="12">
                  <c:v>Employee Training</c:v>
                </c:pt>
                <c:pt idx="13">
                  <c:v>Client Meetings</c:v>
                </c:pt>
                <c:pt idx="14">
                  <c:v>Content Creation</c:v>
                </c:pt>
                <c:pt idx="15">
                  <c:v>Quality Assurance</c:v>
                </c:pt>
                <c:pt idx="16">
                  <c:v>Data Collection</c:v>
                </c:pt>
                <c:pt idx="17">
                  <c:v>Bug Fixes</c:v>
                </c:pt>
                <c:pt idx="18">
                  <c:v>Social Media Planning</c:v>
                </c:pt>
                <c:pt idx="19">
                  <c:v>Certification Programs</c:v>
                </c:pt>
                <c:pt idx="20">
                  <c:v>Transportation Planning</c:v>
                </c:pt>
                <c:pt idx="21">
                  <c:v>Service Improvement</c:v>
                </c:pt>
                <c:pt idx="22">
                  <c:v>Budget Analysis</c:v>
                </c:pt>
                <c:pt idx="23">
                  <c:v>Market Expansion</c:v>
                </c:pt>
                <c:pt idx="24">
                  <c:v>System Integration</c:v>
                </c:pt>
                <c:pt idx="25">
                  <c:v>Contract Negotiation</c:v>
                </c:pt>
                <c:pt idx="26">
                  <c:v>Inventory Management</c:v>
                </c:pt>
                <c:pt idx="27">
                  <c:v>Conference Management</c:v>
                </c:pt>
                <c:pt idx="28">
                  <c:v>User Interface Design</c:v>
                </c:pt>
                <c:pt idx="29">
                  <c:v>Feature Enhancement</c:v>
                </c:pt>
                <c:pt idx="30">
                  <c:v>Financial Reporting</c:v>
                </c:pt>
                <c:pt idx="31">
                  <c:v>Quality Control</c:v>
                </c:pt>
                <c:pt idx="32">
                  <c:v>Campaign Analysis</c:v>
                </c:pt>
                <c:pt idx="33">
                  <c:v>Prototype Testing</c:v>
                </c:pt>
                <c:pt idx="34">
                  <c:v>Ticket Resolution</c:v>
                </c:pt>
                <c:pt idx="35">
                  <c:v>Sponsorship Coordinatio</c:v>
                </c:pt>
                <c:pt idx="36">
                  <c:v>Research Paper Writing</c:v>
                </c:pt>
                <c:pt idx="37">
                  <c:v>Skill Development</c:v>
                </c:pt>
                <c:pt idx="38">
                  <c:v>Facility Maintenance</c:v>
                </c:pt>
                <c:pt idx="39">
                  <c:v>Software Updates</c:v>
                </c:pt>
                <c:pt idx="40">
                  <c:v>Client Advisory</c:v>
                </c:pt>
                <c:pt idx="41">
                  <c:v>Code Review</c:v>
                </c:pt>
                <c:pt idx="42">
                  <c:v>Packaging Design</c:v>
                </c:pt>
                <c:pt idx="43">
                  <c:v>Investment Planning</c:v>
                </c:pt>
                <c:pt idx="44">
                  <c:v>Customer Feedback</c:v>
                </c:pt>
                <c:pt idx="45">
                  <c:v>Inventory Optimization</c:v>
                </c:pt>
              </c:strCache>
            </c:strRef>
          </c:cat>
          <c:val>
            <c:numRef>
              <c:f>Dashboard!$C$39:$C$84</c:f>
              <c:numCache>
                <c:formatCode>yyyy\-mm\-dd</c:formatCode>
                <c:ptCount val="46"/>
                <c:pt idx="0">
                  <c:v>45292</c:v>
                </c:pt>
                <c:pt idx="1">
                  <c:v>45292</c:v>
                </c:pt>
                <c:pt idx="2">
                  <c:v>45293</c:v>
                </c:pt>
                <c:pt idx="3">
                  <c:v>45293</c:v>
                </c:pt>
                <c:pt idx="4">
                  <c:v>45293</c:v>
                </c:pt>
                <c:pt idx="5">
                  <c:v>45293</c:v>
                </c:pt>
                <c:pt idx="6">
                  <c:v>45293</c:v>
                </c:pt>
                <c:pt idx="7">
                  <c:v>45294</c:v>
                </c:pt>
                <c:pt idx="8">
                  <c:v>45294</c:v>
                </c:pt>
                <c:pt idx="9">
                  <c:v>45294</c:v>
                </c:pt>
                <c:pt idx="10">
                  <c:v>45294</c:v>
                </c:pt>
                <c:pt idx="11">
                  <c:v>45294</c:v>
                </c:pt>
                <c:pt idx="12">
                  <c:v>45295</c:v>
                </c:pt>
                <c:pt idx="13">
                  <c:v>45297</c:v>
                </c:pt>
                <c:pt idx="14">
                  <c:v>45305</c:v>
                </c:pt>
                <c:pt idx="15">
                  <c:v>45311</c:v>
                </c:pt>
                <c:pt idx="16">
                  <c:v>45317</c:v>
                </c:pt>
                <c:pt idx="17">
                  <c:v>45318</c:v>
                </c:pt>
                <c:pt idx="18">
                  <c:v>45319</c:v>
                </c:pt>
                <c:pt idx="19">
                  <c:v>45319</c:v>
                </c:pt>
                <c:pt idx="20">
                  <c:v>45320</c:v>
                </c:pt>
                <c:pt idx="21">
                  <c:v>45323</c:v>
                </c:pt>
                <c:pt idx="22">
                  <c:v>45324</c:v>
                </c:pt>
                <c:pt idx="23">
                  <c:v>45324</c:v>
                </c:pt>
                <c:pt idx="24">
                  <c:v>45324</c:v>
                </c:pt>
                <c:pt idx="25">
                  <c:v>45325</c:v>
                </c:pt>
                <c:pt idx="26">
                  <c:v>45325</c:v>
                </c:pt>
                <c:pt idx="27">
                  <c:v>45325</c:v>
                </c:pt>
                <c:pt idx="28">
                  <c:v>45326</c:v>
                </c:pt>
                <c:pt idx="29">
                  <c:v>45330</c:v>
                </c:pt>
                <c:pt idx="30">
                  <c:v>45335</c:v>
                </c:pt>
                <c:pt idx="31">
                  <c:v>45339</c:v>
                </c:pt>
                <c:pt idx="32">
                  <c:v>45340</c:v>
                </c:pt>
                <c:pt idx="33">
                  <c:v>45345</c:v>
                </c:pt>
                <c:pt idx="34">
                  <c:v>45346</c:v>
                </c:pt>
                <c:pt idx="35">
                  <c:v>45346</c:v>
                </c:pt>
                <c:pt idx="36">
                  <c:v>45350</c:v>
                </c:pt>
                <c:pt idx="37">
                  <c:v>45350</c:v>
                </c:pt>
                <c:pt idx="38">
                  <c:v>45351</c:v>
                </c:pt>
                <c:pt idx="39">
                  <c:v>45353</c:v>
                </c:pt>
                <c:pt idx="40">
                  <c:v>45357</c:v>
                </c:pt>
                <c:pt idx="41">
                  <c:v>45365</c:v>
                </c:pt>
                <c:pt idx="42">
                  <c:v>45365</c:v>
                </c:pt>
                <c:pt idx="43">
                  <c:v>45370</c:v>
                </c:pt>
                <c:pt idx="44">
                  <c:v>45372</c:v>
                </c:pt>
                <c:pt idx="45">
                  <c:v>45380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E-4C1C-9129-F7B13E7B3B56}"/>
            </c:ext>
          </c:extLst>
        </c:ser>
        <c:ser>
          <c:idx val="1"/>
          <c:order val="1"/>
          <c:tx>
            <c:strRef>
              <c:f>Dashboard!$D$38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rgbClr val="EEA18B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Dashboard!$B$39:$B$84</c:f>
              <c:strCache>
                <c:ptCount val="46"/>
                <c:pt idx="0">
                  <c:v>Market Research</c:v>
                </c:pt>
                <c:pt idx="1">
                  <c:v>Technical Support</c:v>
                </c:pt>
                <c:pt idx="2">
                  <c:v>Prototype Development</c:v>
                </c:pt>
                <c:pt idx="3">
                  <c:v>Market Trends Analysis</c:v>
                </c:pt>
                <c:pt idx="4">
                  <c:v>Software Development</c:v>
                </c:pt>
                <c:pt idx="5">
                  <c:v>Strategic Planning</c:v>
                </c:pt>
                <c:pt idx="6">
                  <c:v>Product Design</c:v>
                </c:pt>
                <c:pt idx="7">
                  <c:v>Manufacturing</c:v>
                </c:pt>
                <c:pt idx="8">
                  <c:v>Lead Generation</c:v>
                </c:pt>
                <c:pt idx="9">
                  <c:v>Process Optimization</c:v>
                </c:pt>
                <c:pt idx="10">
                  <c:v>Event Planning</c:v>
                </c:pt>
                <c:pt idx="11">
                  <c:v>Supply Chain Management</c:v>
                </c:pt>
                <c:pt idx="12">
                  <c:v>Employee Training</c:v>
                </c:pt>
                <c:pt idx="13">
                  <c:v>Client Meetings</c:v>
                </c:pt>
                <c:pt idx="14">
                  <c:v>Content Creation</c:v>
                </c:pt>
                <c:pt idx="15">
                  <c:v>Quality Assurance</c:v>
                </c:pt>
                <c:pt idx="16">
                  <c:v>Data Collection</c:v>
                </c:pt>
                <c:pt idx="17">
                  <c:v>Bug Fixes</c:v>
                </c:pt>
                <c:pt idx="18">
                  <c:v>Social Media Planning</c:v>
                </c:pt>
                <c:pt idx="19">
                  <c:v>Certification Programs</c:v>
                </c:pt>
                <c:pt idx="20">
                  <c:v>Transportation Planning</c:v>
                </c:pt>
                <c:pt idx="21">
                  <c:v>Service Improvement</c:v>
                </c:pt>
                <c:pt idx="22">
                  <c:v>Budget Analysis</c:v>
                </c:pt>
                <c:pt idx="23">
                  <c:v>Market Expansion</c:v>
                </c:pt>
                <c:pt idx="24">
                  <c:v>System Integration</c:v>
                </c:pt>
                <c:pt idx="25">
                  <c:v>Contract Negotiation</c:v>
                </c:pt>
                <c:pt idx="26">
                  <c:v>Inventory Management</c:v>
                </c:pt>
                <c:pt idx="27">
                  <c:v>Conference Management</c:v>
                </c:pt>
                <c:pt idx="28">
                  <c:v>User Interface Design</c:v>
                </c:pt>
                <c:pt idx="29">
                  <c:v>Feature Enhancement</c:v>
                </c:pt>
                <c:pt idx="30">
                  <c:v>Financial Reporting</c:v>
                </c:pt>
                <c:pt idx="31">
                  <c:v>Quality Control</c:v>
                </c:pt>
                <c:pt idx="32">
                  <c:v>Campaign Analysis</c:v>
                </c:pt>
                <c:pt idx="33">
                  <c:v>Prototype Testing</c:v>
                </c:pt>
                <c:pt idx="34">
                  <c:v>Ticket Resolution</c:v>
                </c:pt>
                <c:pt idx="35">
                  <c:v>Sponsorship Coordinatio</c:v>
                </c:pt>
                <c:pt idx="36">
                  <c:v>Research Paper Writing</c:v>
                </c:pt>
                <c:pt idx="37">
                  <c:v>Skill Development</c:v>
                </c:pt>
                <c:pt idx="38">
                  <c:v>Facility Maintenance</c:v>
                </c:pt>
                <c:pt idx="39">
                  <c:v>Software Updates</c:v>
                </c:pt>
                <c:pt idx="40">
                  <c:v>Client Advisory</c:v>
                </c:pt>
                <c:pt idx="41">
                  <c:v>Code Review</c:v>
                </c:pt>
                <c:pt idx="42">
                  <c:v>Packaging Design</c:v>
                </c:pt>
                <c:pt idx="43">
                  <c:v>Investment Planning</c:v>
                </c:pt>
                <c:pt idx="44">
                  <c:v>Customer Feedback</c:v>
                </c:pt>
                <c:pt idx="45">
                  <c:v>Inventory Optimization</c:v>
                </c:pt>
              </c:strCache>
            </c:strRef>
          </c:cat>
          <c:val>
            <c:numRef>
              <c:f>Dashboard!$D$39:$D$84</c:f>
              <c:numCache>
                <c:formatCode>General</c:formatCode>
                <c:ptCount val="46"/>
                <c:pt idx="0">
                  <c:v>13</c:v>
                </c:pt>
                <c:pt idx="1">
                  <c:v>25</c:v>
                </c:pt>
                <c:pt idx="2">
                  <c:v>18</c:v>
                </c:pt>
                <c:pt idx="3">
                  <c:v>23</c:v>
                </c:pt>
                <c:pt idx="4">
                  <c:v>36</c:v>
                </c:pt>
                <c:pt idx="5">
                  <c:v>35</c:v>
                </c:pt>
                <c:pt idx="6">
                  <c:v>25</c:v>
                </c:pt>
                <c:pt idx="7">
                  <c:v>47</c:v>
                </c:pt>
                <c:pt idx="8">
                  <c:v>60</c:v>
                </c:pt>
                <c:pt idx="9">
                  <c:v>30</c:v>
                </c:pt>
                <c:pt idx="10">
                  <c:v>25</c:v>
                </c:pt>
                <c:pt idx="11">
                  <c:v>25</c:v>
                </c:pt>
                <c:pt idx="12">
                  <c:v>27</c:v>
                </c:pt>
                <c:pt idx="13">
                  <c:v>20</c:v>
                </c:pt>
                <c:pt idx="14">
                  <c:v>14</c:v>
                </c:pt>
                <c:pt idx="15">
                  <c:v>10</c:v>
                </c:pt>
                <c:pt idx="16">
                  <c:v>32</c:v>
                </c:pt>
                <c:pt idx="17">
                  <c:v>31</c:v>
                </c:pt>
                <c:pt idx="18">
                  <c:v>22</c:v>
                </c:pt>
                <c:pt idx="19">
                  <c:v>30</c:v>
                </c:pt>
                <c:pt idx="20">
                  <c:v>30</c:v>
                </c:pt>
                <c:pt idx="21">
                  <c:v>22</c:v>
                </c:pt>
                <c:pt idx="22">
                  <c:v>22</c:v>
                </c:pt>
                <c:pt idx="23">
                  <c:v>32</c:v>
                </c:pt>
                <c:pt idx="24">
                  <c:v>22</c:v>
                </c:pt>
                <c:pt idx="25">
                  <c:v>35</c:v>
                </c:pt>
                <c:pt idx="26">
                  <c:v>25</c:v>
                </c:pt>
                <c:pt idx="27">
                  <c:v>20</c:v>
                </c:pt>
                <c:pt idx="28">
                  <c:v>25</c:v>
                </c:pt>
                <c:pt idx="29">
                  <c:v>34</c:v>
                </c:pt>
                <c:pt idx="30">
                  <c:v>21</c:v>
                </c:pt>
                <c:pt idx="31">
                  <c:v>27</c:v>
                </c:pt>
                <c:pt idx="32">
                  <c:v>25</c:v>
                </c:pt>
                <c:pt idx="33">
                  <c:v>27</c:v>
                </c:pt>
                <c:pt idx="34">
                  <c:v>25</c:v>
                </c:pt>
                <c:pt idx="35">
                  <c:v>35</c:v>
                </c:pt>
                <c:pt idx="36">
                  <c:v>27</c:v>
                </c:pt>
                <c:pt idx="37">
                  <c:v>22</c:v>
                </c:pt>
                <c:pt idx="38">
                  <c:v>20</c:v>
                </c:pt>
                <c:pt idx="39">
                  <c:v>22</c:v>
                </c:pt>
                <c:pt idx="40">
                  <c:v>25</c:v>
                </c:pt>
                <c:pt idx="41">
                  <c:v>30</c:v>
                </c:pt>
                <c:pt idx="42">
                  <c:v>22</c:v>
                </c:pt>
                <c:pt idx="43">
                  <c:v>25</c:v>
                </c:pt>
                <c:pt idx="44">
                  <c:v>30</c:v>
                </c:pt>
                <c:pt idx="4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1E-4C1C-9129-F7B13E7B3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86638"/>
        <c:axId val="69403715"/>
      </c:barChart>
      <c:catAx>
        <c:axId val="898663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69403715"/>
        <c:crosses val="autoZero"/>
        <c:auto val="1"/>
        <c:lblAlgn val="ctr"/>
        <c:lblOffset val="100"/>
        <c:noMultiLvlLbl val="0"/>
      </c:catAx>
      <c:valAx>
        <c:axId val="69403715"/>
        <c:scaling>
          <c:orientation val="maxMin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yyyy\-mm\-dd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9866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70560</xdr:rowOff>
    </xdr:from>
    <xdr:to>
      <xdr:col>17</xdr:col>
      <xdr:colOff>447840</xdr:colOff>
      <xdr:row>18</xdr:row>
      <xdr:rowOff>78120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19</xdr:row>
      <xdr:rowOff>55800</xdr:rowOff>
    </xdr:from>
    <xdr:to>
      <xdr:col>17</xdr:col>
      <xdr:colOff>447840</xdr:colOff>
      <xdr:row>34</xdr:row>
      <xdr:rowOff>63360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35</xdr:row>
      <xdr:rowOff>41400</xdr:rowOff>
    </xdr:from>
    <xdr:to>
      <xdr:col>17</xdr:col>
      <xdr:colOff>447840</xdr:colOff>
      <xdr:row>50</xdr:row>
      <xdr:rowOff>48960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51</xdr:row>
      <xdr:rowOff>26640</xdr:rowOff>
    </xdr:from>
    <xdr:to>
      <xdr:col>17</xdr:col>
      <xdr:colOff>447840</xdr:colOff>
      <xdr:row>92</xdr:row>
      <xdr:rowOff>136080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84"/>
  <sheetViews>
    <sheetView showGridLines="0" tabSelected="1" zoomScaleNormal="100" workbookViewId="0"/>
  </sheetViews>
  <sheetFormatPr defaultColWidth="8.54296875" defaultRowHeight="14.5" x14ac:dyDescent="0.35"/>
  <cols>
    <col min="1" max="1" width="2" customWidth="1"/>
    <col min="2" max="9" width="20" customWidth="1"/>
    <col min="10" max="10" width="2" customWidth="1"/>
  </cols>
  <sheetData>
    <row r="2" spans="2:9" ht="25" x14ac:dyDescent="0.5">
      <c r="B2" s="10" t="s">
        <v>0</v>
      </c>
      <c r="C2" s="10"/>
      <c r="D2" s="10"/>
      <c r="E2" s="10"/>
      <c r="F2" s="10"/>
      <c r="G2" s="10"/>
      <c r="H2" s="10"/>
      <c r="I2" s="10"/>
    </row>
    <row r="3" spans="2:9" x14ac:dyDescent="0.35">
      <c r="B3" s="9" t="s">
        <v>1</v>
      </c>
      <c r="C3" s="9"/>
      <c r="D3" s="9"/>
      <c r="E3" s="9"/>
      <c r="F3" s="9"/>
      <c r="G3" s="9"/>
      <c r="H3" s="9"/>
      <c r="I3" s="9"/>
    </row>
    <row r="5" spans="2:9" x14ac:dyDescent="0.35">
      <c r="B5" s="8" t="s">
        <v>2</v>
      </c>
      <c r="C5" s="8"/>
      <c r="D5" s="8" t="s">
        <v>3</v>
      </c>
      <c r="E5" s="8"/>
      <c r="F5" s="8" t="s">
        <v>4</v>
      </c>
      <c r="G5" s="8"/>
      <c r="H5" s="8" t="s">
        <v>5</v>
      </c>
      <c r="I5" s="8"/>
    </row>
    <row r="6" spans="2:9" x14ac:dyDescent="0.35">
      <c r="B6" s="7">
        <f>SUMPRODUCT(1/COUNTIF('Project Management Data'!$B$7:$B$52,'Project Management Data'!$B$7:$B$52))</f>
        <v>15.000000000000009</v>
      </c>
      <c r="C6" s="7"/>
      <c r="D6" s="7">
        <f>COUNTA('Project Management Data'!$B$7:$B$52)</f>
        <v>46</v>
      </c>
      <c r="E6" s="7"/>
      <c r="F6" s="6">
        <f>AVERAGE('Project Management Data'!$H$7:$H$52)</f>
        <v>0.36891304347826093</v>
      </c>
      <c r="G6" s="6"/>
      <c r="H6" s="7">
        <f>COUNTIF('Project Management Data'!$H$7:$H$52,1)</f>
        <v>9</v>
      </c>
      <c r="I6" s="7"/>
    </row>
    <row r="7" spans="2:9" x14ac:dyDescent="0.35">
      <c r="B7" s="7"/>
      <c r="C7" s="7"/>
      <c r="D7" s="7"/>
      <c r="E7" s="7"/>
      <c r="F7" s="6"/>
      <c r="G7" s="6"/>
      <c r="H7" s="7"/>
      <c r="I7" s="7"/>
    </row>
    <row r="9" spans="2:9" x14ac:dyDescent="0.35">
      <c r="B9" s="8" t="s">
        <v>6</v>
      </c>
      <c r="C9" s="8"/>
      <c r="D9" s="8" t="s">
        <v>7</v>
      </c>
      <c r="E9" s="8"/>
      <c r="F9" s="8" t="s">
        <v>8</v>
      </c>
      <c r="G9" s="8"/>
      <c r="H9" s="8" t="s">
        <v>9</v>
      </c>
      <c r="I9" s="8"/>
    </row>
    <row r="10" spans="2:9" x14ac:dyDescent="0.35">
      <c r="B10" s="7">
        <f>COUNTIF('Project Management Data'!$H$7:$H$52,0)</f>
        <v>22</v>
      </c>
      <c r="C10" s="7"/>
      <c r="D10" s="7">
        <f ca="1">SUMPRODUCT(('Project Management Data'!$G$7:$G$52&lt;TODAY())*('Project Management Data'!$H$7:$H$52&lt;1))</f>
        <v>37</v>
      </c>
      <c r="E10" s="7"/>
      <c r="F10" s="5">
        <f>SUM('Project Management Data'!$F$7:$F$52)</f>
        <v>1218</v>
      </c>
      <c r="G10" s="5"/>
      <c r="H10" s="4">
        <f>AVERAGE('Project Management Data'!$F$7:$F$52)</f>
        <v>26.478260869565219</v>
      </c>
      <c r="I10" s="4"/>
    </row>
    <row r="11" spans="2:9" x14ac:dyDescent="0.35">
      <c r="B11" s="7"/>
      <c r="C11" s="7"/>
      <c r="D11" s="7"/>
      <c r="E11" s="7"/>
      <c r="F11" s="5"/>
      <c r="G11" s="5"/>
      <c r="H11" s="4"/>
      <c r="I11" s="4"/>
    </row>
    <row r="13" spans="2:9" ht="16.5" x14ac:dyDescent="0.35">
      <c r="B13" s="3" t="s">
        <v>10</v>
      </c>
      <c r="C13" s="3"/>
      <c r="D13" s="3"/>
      <c r="E13" s="3"/>
      <c r="F13" s="3"/>
      <c r="G13" s="3"/>
      <c r="H13" s="3"/>
      <c r="I13" s="3"/>
    </row>
    <row r="14" spans="2:9" x14ac:dyDescent="0.35">
      <c r="B14" s="11" t="s">
        <v>11</v>
      </c>
      <c r="C14" s="11" t="s">
        <v>12</v>
      </c>
      <c r="D14" s="11" t="s">
        <v>13</v>
      </c>
      <c r="E14" s="11" t="s">
        <v>14</v>
      </c>
    </row>
    <row r="15" spans="2:9" x14ac:dyDescent="0.35">
      <c r="B15" s="12" t="s">
        <v>15</v>
      </c>
      <c r="C15" s="12">
        <f>COUNTIF('Project Management Data'!$B$7:$B$52,$B15)</f>
        <v>4</v>
      </c>
      <c r="D15" s="13">
        <f>AVERAGEIF('Project Management Data'!$B$7:$B$52,$B15,'Project Management Data'!$H$7:$H$52)</f>
        <v>0.5575</v>
      </c>
      <c r="E15" s="14">
        <f>SUMIF('Project Management Data'!$B$7:$B$52,$B15,'Project Management Data'!$F$7:$F$52)</f>
        <v>74</v>
      </c>
    </row>
    <row r="16" spans="2:9" x14ac:dyDescent="0.35">
      <c r="B16" s="15" t="s">
        <v>16</v>
      </c>
      <c r="C16" s="15">
        <f>COUNTIF('Project Management Data'!$B$7:$B$52,$B16)</f>
        <v>3</v>
      </c>
      <c r="D16" s="16">
        <f>AVERAGEIF('Project Management Data'!$B$7:$B$52,$B16,'Project Management Data'!$H$7:$H$52)</f>
        <v>0.59333333333333338</v>
      </c>
      <c r="E16" s="17">
        <f>SUMIF('Project Management Data'!$B$7:$B$52,$B16,'Project Management Data'!$F$7:$F$52)</f>
        <v>53</v>
      </c>
    </row>
    <row r="17" spans="2:5" x14ac:dyDescent="0.35">
      <c r="B17" s="12" t="s">
        <v>17</v>
      </c>
      <c r="C17" s="12">
        <f>COUNTIF('Project Management Data'!$B$7:$B$52,$B17)</f>
        <v>3</v>
      </c>
      <c r="D17" s="13">
        <f>AVERAGEIF('Project Management Data'!$B$7:$B$52,$B17,'Project Management Data'!$H$7:$H$52)</f>
        <v>0.66666666666666663</v>
      </c>
      <c r="E17" s="14">
        <f>SUMIF('Project Management Data'!$B$7:$B$52,$B17,'Project Management Data'!$F$7:$F$52)</f>
        <v>77</v>
      </c>
    </row>
    <row r="18" spans="2:5" x14ac:dyDescent="0.35">
      <c r="B18" s="15" t="s">
        <v>18</v>
      </c>
      <c r="C18" s="15">
        <f>COUNTIF('Project Management Data'!$B$7:$B$52,$B18)</f>
        <v>3</v>
      </c>
      <c r="D18" s="16">
        <f>AVERAGEIF('Project Management Data'!$B$7:$B$52,$B18,'Project Management Data'!$H$7:$H$52)</f>
        <v>0.62666666666666659</v>
      </c>
      <c r="E18" s="17">
        <f>SUMIF('Project Management Data'!$B$7:$B$52,$B18,'Project Management Data'!$F$7:$F$52)</f>
        <v>68</v>
      </c>
    </row>
    <row r="19" spans="2:5" x14ac:dyDescent="0.35">
      <c r="B19" s="12" t="s">
        <v>19</v>
      </c>
      <c r="C19" s="12">
        <f>COUNTIF('Project Management Data'!$B$7:$B$52,$B19)</f>
        <v>3</v>
      </c>
      <c r="D19" s="13">
        <f>AVERAGEIF('Project Management Data'!$B$7:$B$52,$B19,'Project Management Data'!$H$7:$H$52)</f>
        <v>0.16666666666666666</v>
      </c>
      <c r="E19" s="14">
        <f>SUMIF('Project Management Data'!$B$7:$B$52,$B19,'Project Management Data'!$F$7:$F$52)</f>
        <v>82</v>
      </c>
    </row>
    <row r="20" spans="2:5" x14ac:dyDescent="0.35">
      <c r="B20" s="15" t="s">
        <v>20</v>
      </c>
      <c r="C20" s="15">
        <f>COUNTIF('Project Management Data'!$B$7:$B$52,$B20)</f>
        <v>3</v>
      </c>
      <c r="D20" s="16">
        <f>AVERAGEIF('Project Management Data'!$B$7:$B$52,$B20,'Project Management Data'!$H$7:$H$52)</f>
        <v>0.33333333333333331</v>
      </c>
      <c r="E20" s="17">
        <f>SUMIF('Project Management Data'!$B$7:$B$52,$B20,'Project Management Data'!$F$7:$F$52)</f>
        <v>100</v>
      </c>
    </row>
    <row r="21" spans="2:5" x14ac:dyDescent="0.35">
      <c r="B21" s="12" t="s">
        <v>21</v>
      </c>
      <c r="C21" s="12">
        <f>COUNTIF('Project Management Data'!$B$7:$B$52,$B21)</f>
        <v>3</v>
      </c>
      <c r="D21" s="13">
        <f>AVERAGEIF('Project Management Data'!$B$7:$B$52,$B21,'Project Management Data'!$H$7:$H$52)</f>
        <v>9.9999999999999992E-2</v>
      </c>
      <c r="E21" s="14">
        <f>SUMIF('Project Management Data'!$B$7:$B$52,$B21,'Project Management Data'!$F$7:$F$52)</f>
        <v>96</v>
      </c>
    </row>
    <row r="22" spans="2:5" x14ac:dyDescent="0.35">
      <c r="B22" s="15" t="s">
        <v>22</v>
      </c>
      <c r="C22" s="15">
        <f>COUNTIF('Project Management Data'!$B$7:$B$52,$B22)</f>
        <v>3</v>
      </c>
      <c r="D22" s="16">
        <f>AVERAGEIF('Project Management Data'!$B$7:$B$52,$B22,'Project Management Data'!$H$7:$H$52)</f>
        <v>0.49333333333333335</v>
      </c>
      <c r="E22" s="17">
        <f>SUMIF('Project Management Data'!$B$7:$B$52,$B22,'Project Management Data'!$F$7:$F$52)</f>
        <v>115</v>
      </c>
    </row>
    <row r="23" spans="2:5" x14ac:dyDescent="0.35">
      <c r="B23" s="12" t="s">
        <v>23</v>
      </c>
      <c r="C23" s="12">
        <f>COUNTIF('Project Management Data'!$B$7:$B$52,$B23)</f>
        <v>3</v>
      </c>
      <c r="D23" s="13">
        <f>AVERAGEIF('Project Management Data'!$B$7:$B$52,$B23,'Project Management Data'!$H$7:$H$52)</f>
        <v>0.66666666666666663</v>
      </c>
      <c r="E23" s="14">
        <f>SUMIF('Project Management Data'!$B$7:$B$52,$B23,'Project Management Data'!$F$7:$F$52)</f>
        <v>78</v>
      </c>
    </row>
    <row r="24" spans="2:5" x14ac:dyDescent="0.35">
      <c r="B24" s="15" t="s">
        <v>24</v>
      </c>
      <c r="C24" s="15">
        <f>COUNTIF('Project Management Data'!$B$7:$B$52,$B24)</f>
        <v>3</v>
      </c>
      <c r="D24" s="16">
        <f>AVERAGEIF('Project Management Data'!$B$7:$B$52,$B24,'Project Management Data'!$H$7:$H$52)</f>
        <v>0.13333333333333333</v>
      </c>
      <c r="E24" s="17">
        <f>SUMIF('Project Management Data'!$B$7:$B$52,$B24,'Project Management Data'!$F$7:$F$52)</f>
        <v>75</v>
      </c>
    </row>
    <row r="25" spans="2:5" x14ac:dyDescent="0.35">
      <c r="B25" s="12" t="s">
        <v>25</v>
      </c>
      <c r="C25" s="12">
        <f>COUNTIF('Project Management Data'!$B$7:$B$52,$B25)</f>
        <v>3</v>
      </c>
      <c r="D25" s="13">
        <f>AVERAGEIF('Project Management Data'!$B$7:$B$52,$B25,'Project Management Data'!$H$7:$H$52)</f>
        <v>0.19999999999999998</v>
      </c>
      <c r="E25" s="14">
        <f>SUMIF('Project Management Data'!$B$7:$B$52,$B25,'Project Management Data'!$F$7:$F$52)</f>
        <v>92</v>
      </c>
    </row>
    <row r="26" spans="2:5" x14ac:dyDescent="0.35">
      <c r="B26" s="15" t="s">
        <v>26</v>
      </c>
      <c r="C26" s="15">
        <f>COUNTIF('Project Management Data'!$B$7:$B$52,$B26)</f>
        <v>3</v>
      </c>
      <c r="D26" s="16">
        <f>AVERAGEIF('Project Management Data'!$B$7:$B$52,$B26,'Project Management Data'!$H$7:$H$52)</f>
        <v>0.26666666666666666</v>
      </c>
      <c r="E26" s="17">
        <f>SUMIF('Project Management Data'!$B$7:$B$52,$B26,'Project Management Data'!$F$7:$F$52)</f>
        <v>79</v>
      </c>
    </row>
    <row r="27" spans="2:5" x14ac:dyDescent="0.35">
      <c r="B27" s="12" t="s">
        <v>27</v>
      </c>
      <c r="C27" s="12">
        <f>COUNTIF('Project Management Data'!$B$7:$B$52,$B27)</f>
        <v>3</v>
      </c>
      <c r="D27" s="13">
        <f>AVERAGEIF('Project Management Data'!$B$7:$B$52,$B27,'Project Management Data'!$H$7:$H$52)</f>
        <v>9.9999999999999992E-2</v>
      </c>
      <c r="E27" s="14">
        <f>SUMIF('Project Management Data'!$B$7:$B$52,$B27,'Project Management Data'!$F$7:$F$52)</f>
        <v>80</v>
      </c>
    </row>
    <row r="28" spans="2:5" x14ac:dyDescent="0.35">
      <c r="B28" s="15" t="s">
        <v>28</v>
      </c>
      <c r="C28" s="15">
        <f>COUNTIF('Project Management Data'!$B$7:$B$52,$B28)</f>
        <v>3</v>
      </c>
      <c r="D28" s="16">
        <f>AVERAGEIF('Project Management Data'!$B$7:$B$52,$B28,'Project Management Data'!$H$7:$H$52)</f>
        <v>0.5</v>
      </c>
      <c r="E28" s="17">
        <f>SUMIF('Project Management Data'!$B$7:$B$52,$B28,'Project Management Data'!$F$7:$F$52)</f>
        <v>75</v>
      </c>
    </row>
    <row r="29" spans="2:5" x14ac:dyDescent="0.35">
      <c r="B29" s="12" t="s">
        <v>29</v>
      </c>
      <c r="C29" s="12">
        <f>COUNTIF('Project Management Data'!$B$7:$B$52,$B29)</f>
        <v>3</v>
      </c>
      <c r="D29" s="13">
        <f>AVERAGEIF('Project Management Data'!$B$7:$B$52,$B29,'Project Management Data'!$H$7:$H$52)</f>
        <v>6.6666666666666666E-2</v>
      </c>
      <c r="E29" s="14">
        <f>SUMIF('Project Management Data'!$B$7:$B$52,$B29,'Project Management Data'!$F$7:$F$52)</f>
        <v>74</v>
      </c>
    </row>
    <row r="31" spans="2:5" ht="16.5" x14ac:dyDescent="0.35">
      <c r="B31" s="3" t="s">
        <v>30</v>
      </c>
      <c r="C31" s="3"/>
    </row>
    <row r="32" spans="2:5" x14ac:dyDescent="0.35">
      <c r="B32" s="18" t="s">
        <v>31</v>
      </c>
      <c r="C32" s="18" t="s">
        <v>32</v>
      </c>
    </row>
    <row r="33" spans="2:9" x14ac:dyDescent="0.35">
      <c r="B33" s="12" t="s">
        <v>33</v>
      </c>
      <c r="C33" s="12">
        <f>COUNTIF('Project Management Data'!$H$7:$H$52,1)</f>
        <v>9</v>
      </c>
    </row>
    <row r="34" spans="2:9" x14ac:dyDescent="0.35">
      <c r="B34" s="12" t="s">
        <v>34</v>
      </c>
      <c r="C34" s="12">
        <f>SUMPRODUCT(('Project Management Data'!$H$7:$H$52&gt;0)*('Project Management Data'!$H$7:$H$52&lt;1))</f>
        <v>15</v>
      </c>
    </row>
    <row r="35" spans="2:9" x14ac:dyDescent="0.35">
      <c r="B35" s="12" t="s">
        <v>35</v>
      </c>
      <c r="C35" s="12">
        <f>COUNTIF('Project Management Data'!$H$7:$H$52,0)</f>
        <v>22</v>
      </c>
    </row>
    <row r="37" spans="2:9" ht="16.5" x14ac:dyDescent="0.35">
      <c r="B37" s="3" t="s">
        <v>36</v>
      </c>
      <c r="C37" s="3"/>
      <c r="D37" s="3"/>
      <c r="E37" s="3"/>
      <c r="F37" s="3"/>
      <c r="G37" s="3"/>
      <c r="H37" s="3"/>
      <c r="I37" s="3"/>
    </row>
    <row r="38" spans="2:9" x14ac:dyDescent="0.35">
      <c r="B38" s="19" t="s">
        <v>37</v>
      </c>
      <c r="C38" s="19" t="s">
        <v>38</v>
      </c>
      <c r="D38" s="19" t="s">
        <v>39</v>
      </c>
    </row>
    <row r="39" spans="2:9" x14ac:dyDescent="0.35">
      <c r="B39" s="12" t="str">
        <f>'Project Management Data'!C7</f>
        <v>Market Research</v>
      </c>
      <c r="C39" s="20">
        <f>'Project Management Data'!E7</f>
        <v>45292</v>
      </c>
      <c r="D39" s="12">
        <f>'Project Management Data'!F7</f>
        <v>13</v>
      </c>
    </row>
    <row r="40" spans="2:9" x14ac:dyDescent="0.35">
      <c r="B40" s="15" t="str">
        <f>'Project Management Data'!C32</f>
        <v>Technical Support</v>
      </c>
      <c r="C40" s="21">
        <f>'Project Management Data'!E32</f>
        <v>45292</v>
      </c>
      <c r="D40" s="15">
        <f>'Project Management Data'!F32</f>
        <v>25</v>
      </c>
    </row>
    <row r="41" spans="2:9" x14ac:dyDescent="0.35">
      <c r="B41" s="12" t="str">
        <f>'Project Management Data'!C11</f>
        <v>Prototype Development</v>
      </c>
      <c r="C41" s="20">
        <f>'Project Management Data'!E11</f>
        <v>45293</v>
      </c>
      <c r="D41" s="12">
        <f>'Project Management Data'!F11</f>
        <v>18</v>
      </c>
    </row>
    <row r="42" spans="2:9" x14ac:dyDescent="0.35">
      <c r="B42" s="15" t="str">
        <f>'Project Management Data'!C20</f>
        <v>Market Trends Analysis</v>
      </c>
      <c r="C42" s="21">
        <f>'Project Management Data'!E20</f>
        <v>45293</v>
      </c>
      <c r="D42" s="15">
        <f>'Project Management Data'!F20</f>
        <v>23</v>
      </c>
    </row>
    <row r="43" spans="2:9" x14ac:dyDescent="0.35">
      <c r="B43" s="12" t="str">
        <f>'Project Management Data'!C23</f>
        <v>Software Development</v>
      </c>
      <c r="C43" s="20">
        <f>'Project Management Data'!E23</f>
        <v>45293</v>
      </c>
      <c r="D43" s="12">
        <f>'Project Management Data'!F23</f>
        <v>36</v>
      </c>
    </row>
    <row r="44" spans="2:9" x14ac:dyDescent="0.35">
      <c r="B44" s="15" t="str">
        <f>'Project Management Data'!C38</f>
        <v>Strategic Planning</v>
      </c>
      <c r="C44" s="21">
        <f>'Project Management Data'!E38</f>
        <v>45293</v>
      </c>
      <c r="D44" s="15">
        <f>'Project Management Data'!F38</f>
        <v>35</v>
      </c>
    </row>
    <row r="45" spans="2:9" x14ac:dyDescent="0.35">
      <c r="B45" s="12" t="str">
        <f>'Project Management Data'!C50</f>
        <v>Product Design</v>
      </c>
      <c r="C45" s="20">
        <f>'Project Management Data'!E50</f>
        <v>45293</v>
      </c>
      <c r="D45" s="12">
        <f>'Project Management Data'!F50</f>
        <v>25</v>
      </c>
    </row>
    <row r="46" spans="2:9" x14ac:dyDescent="0.35">
      <c r="B46" s="15" t="str">
        <f>'Project Management Data'!C26</f>
        <v>Manufacturing</v>
      </c>
      <c r="C46" s="21">
        <f>'Project Management Data'!E26</f>
        <v>45294</v>
      </c>
      <c r="D46" s="15">
        <f>'Project Management Data'!F26</f>
        <v>47</v>
      </c>
    </row>
    <row r="47" spans="2:9" x14ac:dyDescent="0.35">
      <c r="B47" s="12" t="str">
        <f>'Project Management Data'!C29</f>
        <v>Lead Generation</v>
      </c>
      <c r="C47" s="20">
        <f>'Project Management Data'!E29</f>
        <v>45294</v>
      </c>
      <c r="D47" s="12">
        <f>'Project Management Data'!F29</f>
        <v>60</v>
      </c>
    </row>
    <row r="48" spans="2:9" x14ac:dyDescent="0.35">
      <c r="B48" s="15" t="str">
        <f>'Project Management Data'!C35</f>
        <v>Process Optimization</v>
      </c>
      <c r="C48" s="21">
        <f>'Project Management Data'!E35</f>
        <v>45294</v>
      </c>
      <c r="D48" s="15">
        <f>'Project Management Data'!F35</f>
        <v>30</v>
      </c>
    </row>
    <row r="49" spans="2:4" x14ac:dyDescent="0.35">
      <c r="B49" s="12" t="str">
        <f>'Project Management Data'!C44</f>
        <v>Event Planning</v>
      </c>
      <c r="C49" s="20">
        <f>'Project Management Data'!E44</f>
        <v>45294</v>
      </c>
      <c r="D49" s="12">
        <f>'Project Management Data'!F44</f>
        <v>25</v>
      </c>
    </row>
    <row r="50" spans="2:4" x14ac:dyDescent="0.35">
      <c r="B50" s="15" t="str">
        <f>'Project Management Data'!C47</f>
        <v>Supply Chain Management</v>
      </c>
      <c r="C50" s="21">
        <f>'Project Management Data'!E47</f>
        <v>45294</v>
      </c>
      <c r="D50" s="15">
        <f>'Project Management Data'!F47</f>
        <v>25</v>
      </c>
    </row>
    <row r="51" spans="2:4" x14ac:dyDescent="0.35">
      <c r="B51" s="12" t="str">
        <f>'Project Management Data'!C41</f>
        <v>Employee Training</v>
      </c>
      <c r="C51" s="20">
        <f>'Project Management Data'!E41</f>
        <v>45295</v>
      </c>
      <c r="D51" s="12">
        <f>'Project Management Data'!F41</f>
        <v>27</v>
      </c>
    </row>
    <row r="52" spans="2:4" x14ac:dyDescent="0.35">
      <c r="B52" s="15" t="str">
        <f>'Project Management Data'!C30</f>
        <v>Client Meetings</v>
      </c>
      <c r="C52" s="21">
        <f>'Project Management Data'!E30</f>
        <v>45297</v>
      </c>
      <c r="D52" s="15">
        <f>'Project Management Data'!F30</f>
        <v>20</v>
      </c>
    </row>
    <row r="53" spans="2:4" x14ac:dyDescent="0.35">
      <c r="B53" s="12" t="str">
        <f>'Project Management Data'!C8</f>
        <v>Content Creation</v>
      </c>
      <c r="C53" s="20">
        <f>'Project Management Data'!E8</f>
        <v>45305</v>
      </c>
      <c r="D53" s="12">
        <f>'Project Management Data'!F8</f>
        <v>14</v>
      </c>
    </row>
    <row r="54" spans="2:4" x14ac:dyDescent="0.35">
      <c r="B54" s="15" t="str">
        <f>'Project Management Data'!C12</f>
        <v>Quality Assurance</v>
      </c>
      <c r="C54" s="21">
        <f>'Project Management Data'!E12</f>
        <v>45311</v>
      </c>
      <c r="D54" s="15">
        <f>'Project Management Data'!F12</f>
        <v>10</v>
      </c>
    </row>
    <row r="55" spans="2:4" x14ac:dyDescent="0.35">
      <c r="B55" s="12" t="str">
        <f>'Project Management Data'!C21</f>
        <v>Data Collection</v>
      </c>
      <c r="C55" s="20">
        <f>'Project Management Data'!E21</f>
        <v>45317</v>
      </c>
      <c r="D55" s="12">
        <f>'Project Management Data'!F21</f>
        <v>32</v>
      </c>
    </row>
    <row r="56" spans="2:4" x14ac:dyDescent="0.35">
      <c r="B56" s="15" t="str">
        <f>'Project Management Data'!C33</f>
        <v>Bug Fixes</v>
      </c>
      <c r="C56" s="21">
        <f>'Project Management Data'!E33</f>
        <v>45318</v>
      </c>
      <c r="D56" s="15">
        <f>'Project Management Data'!F33</f>
        <v>31</v>
      </c>
    </row>
    <row r="57" spans="2:4" x14ac:dyDescent="0.35">
      <c r="B57" s="12" t="str">
        <f>'Project Management Data'!C9</f>
        <v>Social Media Planning</v>
      </c>
      <c r="C57" s="20">
        <f>'Project Management Data'!E9</f>
        <v>45319</v>
      </c>
      <c r="D57" s="12">
        <f>'Project Management Data'!F9</f>
        <v>22</v>
      </c>
    </row>
    <row r="58" spans="2:4" x14ac:dyDescent="0.35">
      <c r="B58" s="15" t="str">
        <f>'Project Management Data'!C42</f>
        <v>Certification Programs</v>
      </c>
      <c r="C58" s="21">
        <f>'Project Management Data'!E42</f>
        <v>45319</v>
      </c>
      <c r="D58" s="15">
        <f>'Project Management Data'!F42</f>
        <v>30</v>
      </c>
    </row>
    <row r="59" spans="2:4" x14ac:dyDescent="0.35">
      <c r="B59" s="12" t="str">
        <f>'Project Management Data'!C48</f>
        <v>Transportation Planning</v>
      </c>
      <c r="C59" s="20">
        <f>'Project Management Data'!E48</f>
        <v>45320</v>
      </c>
      <c r="D59" s="12">
        <f>'Project Management Data'!F48</f>
        <v>30</v>
      </c>
    </row>
    <row r="60" spans="2:4" x14ac:dyDescent="0.35">
      <c r="B60" s="15" t="str">
        <f>'Project Management Data'!C14</f>
        <v>Service Improvement</v>
      </c>
      <c r="C60" s="21">
        <f>'Project Management Data'!E14</f>
        <v>45323</v>
      </c>
      <c r="D60" s="15">
        <f>'Project Management Data'!F14</f>
        <v>22</v>
      </c>
    </row>
    <row r="61" spans="2:4" x14ac:dyDescent="0.35">
      <c r="B61" s="12" t="str">
        <f>'Project Management Data'!C17</f>
        <v>Budget Analysis</v>
      </c>
      <c r="C61" s="20">
        <f>'Project Management Data'!E17</f>
        <v>45324</v>
      </c>
      <c r="D61" s="12">
        <f>'Project Management Data'!F17</f>
        <v>22</v>
      </c>
    </row>
    <row r="62" spans="2:4" x14ac:dyDescent="0.35">
      <c r="B62" s="15" t="str">
        <f>'Project Management Data'!C39</f>
        <v>Market Expansion</v>
      </c>
      <c r="C62" s="21">
        <f>'Project Management Data'!E39</f>
        <v>45324</v>
      </c>
      <c r="D62" s="15">
        <f>'Project Management Data'!F39</f>
        <v>32</v>
      </c>
    </row>
    <row r="63" spans="2:4" x14ac:dyDescent="0.35">
      <c r="B63" s="12" t="str">
        <f>'Project Management Data'!C51</f>
        <v>System Integration</v>
      </c>
      <c r="C63" s="20">
        <f>'Project Management Data'!E51</f>
        <v>45324</v>
      </c>
      <c r="D63" s="12">
        <f>'Project Management Data'!F51</f>
        <v>22</v>
      </c>
    </row>
    <row r="64" spans="2:4" x14ac:dyDescent="0.35">
      <c r="B64" s="15" t="str">
        <f>'Project Management Data'!C31</f>
        <v>Contract Negotiation</v>
      </c>
      <c r="C64" s="21">
        <f>'Project Management Data'!E31</f>
        <v>45325</v>
      </c>
      <c r="D64" s="15">
        <f>'Project Management Data'!F31</f>
        <v>35</v>
      </c>
    </row>
    <row r="65" spans="2:4" x14ac:dyDescent="0.35">
      <c r="B65" s="12" t="str">
        <f>'Project Management Data'!C36</f>
        <v>Inventory Management</v>
      </c>
      <c r="C65" s="20">
        <f>'Project Management Data'!E36</f>
        <v>45325</v>
      </c>
      <c r="D65" s="12">
        <f>'Project Management Data'!F36</f>
        <v>25</v>
      </c>
    </row>
    <row r="66" spans="2:4" x14ac:dyDescent="0.35">
      <c r="B66" s="15" t="str">
        <f>'Project Management Data'!C45</f>
        <v>Conference Management</v>
      </c>
      <c r="C66" s="21">
        <f>'Project Management Data'!E45</f>
        <v>45325</v>
      </c>
      <c r="D66" s="15">
        <f>'Project Management Data'!F45</f>
        <v>20</v>
      </c>
    </row>
    <row r="67" spans="2:4" x14ac:dyDescent="0.35">
      <c r="B67" s="12" t="str">
        <f>'Project Management Data'!C13</f>
        <v>User Interface Design</v>
      </c>
      <c r="C67" s="20">
        <f>'Project Management Data'!E13</f>
        <v>45326</v>
      </c>
      <c r="D67" s="12">
        <f>'Project Management Data'!F13</f>
        <v>25</v>
      </c>
    </row>
    <row r="68" spans="2:4" x14ac:dyDescent="0.35">
      <c r="B68" s="15" t="str">
        <f>'Project Management Data'!C24</f>
        <v>Feature Enhancement</v>
      </c>
      <c r="C68" s="21">
        <f>'Project Management Data'!E24</f>
        <v>45330</v>
      </c>
      <c r="D68" s="15">
        <f>'Project Management Data'!F24</f>
        <v>34</v>
      </c>
    </row>
    <row r="69" spans="2:4" x14ac:dyDescent="0.35">
      <c r="B69" s="12" t="str">
        <f>'Project Management Data'!C18</f>
        <v>Financial Reporting</v>
      </c>
      <c r="C69" s="20">
        <f>'Project Management Data'!E18</f>
        <v>45335</v>
      </c>
      <c r="D69" s="12">
        <f>'Project Management Data'!F18</f>
        <v>21</v>
      </c>
    </row>
    <row r="70" spans="2:4" x14ac:dyDescent="0.35">
      <c r="B70" s="15" t="str">
        <f>'Project Management Data'!C27</f>
        <v>Quality Control</v>
      </c>
      <c r="C70" s="21">
        <f>'Project Management Data'!E27</f>
        <v>45339</v>
      </c>
      <c r="D70" s="15">
        <f>'Project Management Data'!F27</f>
        <v>27</v>
      </c>
    </row>
    <row r="71" spans="2:4" x14ac:dyDescent="0.35">
      <c r="B71" s="12" t="str">
        <f>'Project Management Data'!C10</f>
        <v>Campaign Analysis</v>
      </c>
      <c r="C71" s="20">
        <f>'Project Management Data'!E10</f>
        <v>45340</v>
      </c>
      <c r="D71" s="12">
        <f>'Project Management Data'!F10</f>
        <v>25</v>
      </c>
    </row>
    <row r="72" spans="2:4" x14ac:dyDescent="0.35">
      <c r="B72" s="15" t="str">
        <f>'Project Management Data'!C52</f>
        <v>Prototype Testing</v>
      </c>
      <c r="C72" s="21">
        <f>'Project Management Data'!E52</f>
        <v>45345</v>
      </c>
      <c r="D72" s="15">
        <f>'Project Management Data'!F52</f>
        <v>27</v>
      </c>
    </row>
    <row r="73" spans="2:4" x14ac:dyDescent="0.35">
      <c r="B73" s="12" t="str">
        <f>'Project Management Data'!C15</f>
        <v>Ticket Resolution</v>
      </c>
      <c r="C73" s="20">
        <f>'Project Management Data'!E15</f>
        <v>45346</v>
      </c>
      <c r="D73" s="12">
        <f>'Project Management Data'!F15</f>
        <v>25</v>
      </c>
    </row>
    <row r="74" spans="2:4" x14ac:dyDescent="0.35">
      <c r="B74" s="15" t="str">
        <f>'Project Management Data'!C46</f>
        <v>Sponsorship Coordinatio</v>
      </c>
      <c r="C74" s="21">
        <f>'Project Management Data'!E46</f>
        <v>45346</v>
      </c>
      <c r="D74" s="15">
        <f>'Project Management Data'!F46</f>
        <v>35</v>
      </c>
    </row>
    <row r="75" spans="2:4" x14ac:dyDescent="0.35">
      <c r="B75" s="12" t="str">
        <f>'Project Management Data'!C22</f>
        <v>Research Paper Writing</v>
      </c>
      <c r="C75" s="20">
        <f>'Project Management Data'!E22</f>
        <v>45350</v>
      </c>
      <c r="D75" s="12">
        <f>'Project Management Data'!F22</f>
        <v>27</v>
      </c>
    </row>
    <row r="76" spans="2:4" x14ac:dyDescent="0.35">
      <c r="B76" s="15" t="str">
        <f>'Project Management Data'!C43</f>
        <v>Skill Development</v>
      </c>
      <c r="C76" s="21">
        <f>'Project Management Data'!E43</f>
        <v>45350</v>
      </c>
      <c r="D76" s="15">
        <f>'Project Management Data'!F43</f>
        <v>22</v>
      </c>
    </row>
    <row r="77" spans="2:4" x14ac:dyDescent="0.35">
      <c r="B77" s="12" t="str">
        <f>'Project Management Data'!C37</f>
        <v>Facility Maintenance</v>
      </c>
      <c r="C77" s="20">
        <f>'Project Management Data'!E37</f>
        <v>45351</v>
      </c>
      <c r="D77" s="12">
        <f>'Project Management Data'!F37</f>
        <v>20</v>
      </c>
    </row>
    <row r="78" spans="2:4" x14ac:dyDescent="0.35">
      <c r="B78" s="15" t="str">
        <f>'Project Management Data'!C34</f>
        <v>Software Updates</v>
      </c>
      <c r="C78" s="21">
        <f>'Project Management Data'!E34</f>
        <v>45353</v>
      </c>
      <c r="D78" s="15">
        <f>'Project Management Data'!F34</f>
        <v>22</v>
      </c>
    </row>
    <row r="79" spans="2:4" x14ac:dyDescent="0.35">
      <c r="B79" s="12" t="str">
        <f>'Project Management Data'!C40</f>
        <v>Client Advisory</v>
      </c>
      <c r="C79" s="20">
        <f>'Project Management Data'!E40</f>
        <v>45357</v>
      </c>
      <c r="D79" s="12">
        <f>'Project Management Data'!F40</f>
        <v>25</v>
      </c>
    </row>
    <row r="80" spans="2:4" x14ac:dyDescent="0.35">
      <c r="B80" s="15" t="str">
        <f>'Project Management Data'!C25</f>
        <v>Code Review</v>
      </c>
      <c r="C80" s="21">
        <f>'Project Management Data'!E25</f>
        <v>45365</v>
      </c>
      <c r="D80" s="15">
        <f>'Project Management Data'!F25</f>
        <v>30</v>
      </c>
    </row>
    <row r="81" spans="2:4" x14ac:dyDescent="0.35">
      <c r="B81" s="12" t="str">
        <f>'Project Management Data'!C28</f>
        <v>Packaging Design</v>
      </c>
      <c r="C81" s="20">
        <f>'Project Management Data'!E28</f>
        <v>45365</v>
      </c>
      <c r="D81" s="12">
        <f>'Project Management Data'!F28</f>
        <v>22</v>
      </c>
    </row>
    <row r="82" spans="2:4" x14ac:dyDescent="0.35">
      <c r="B82" s="15" t="str">
        <f>'Project Management Data'!C19</f>
        <v>Investment Planning</v>
      </c>
      <c r="C82" s="21">
        <f>'Project Management Data'!E19</f>
        <v>45370</v>
      </c>
      <c r="D82" s="15">
        <f>'Project Management Data'!F19</f>
        <v>25</v>
      </c>
    </row>
    <row r="83" spans="2:4" x14ac:dyDescent="0.35">
      <c r="B83" s="12" t="str">
        <f>'Project Management Data'!C16</f>
        <v>Customer Feedback</v>
      </c>
      <c r="C83" s="20">
        <f>'Project Management Data'!E16</f>
        <v>45372</v>
      </c>
      <c r="D83" s="12">
        <f>'Project Management Data'!F16</f>
        <v>30</v>
      </c>
    </row>
    <row r="84" spans="2:4" x14ac:dyDescent="0.35">
      <c r="B84" s="15" t="str">
        <f>'Project Management Data'!C49</f>
        <v>Inventory Optimization</v>
      </c>
      <c r="C84" s="21">
        <f>'Project Management Data'!E49</f>
        <v>45380</v>
      </c>
      <c r="D84" s="15">
        <f>'Project Management Data'!F49</f>
        <v>20</v>
      </c>
    </row>
  </sheetData>
  <mergeCells count="21">
    <mergeCell ref="B31:C31"/>
    <mergeCell ref="B37:I37"/>
    <mergeCell ref="B10:C11"/>
    <mergeCell ref="D10:E11"/>
    <mergeCell ref="F10:G11"/>
    <mergeCell ref="H10:I11"/>
    <mergeCell ref="B13:I13"/>
    <mergeCell ref="B6:C7"/>
    <mergeCell ref="D6:E7"/>
    <mergeCell ref="F6:G7"/>
    <mergeCell ref="H6:I7"/>
    <mergeCell ref="B9:C9"/>
    <mergeCell ref="D9:E9"/>
    <mergeCell ref="F9:G9"/>
    <mergeCell ref="H9:I9"/>
    <mergeCell ref="B2:I2"/>
    <mergeCell ref="B3:I3"/>
    <mergeCell ref="B5:C5"/>
    <mergeCell ref="D5:E5"/>
    <mergeCell ref="F5:G5"/>
    <mergeCell ref="H5:I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52"/>
  <sheetViews>
    <sheetView showGridLines="0" zoomScaleNormal="100" workbookViewId="0"/>
  </sheetViews>
  <sheetFormatPr defaultColWidth="9.08984375" defaultRowHeight="14.5" x14ac:dyDescent="0.35"/>
  <cols>
    <col min="1" max="1" width="4.36328125" style="22" customWidth="1"/>
    <col min="2" max="2" width="15.54296875" style="22" customWidth="1"/>
    <col min="3" max="3" width="25" style="22" customWidth="1"/>
    <col min="4" max="4" width="13.453125" style="22" customWidth="1"/>
    <col min="5" max="5" width="13.54296875" style="22" customWidth="1"/>
    <col min="6" max="6" width="15.54296875" style="22" customWidth="1"/>
    <col min="7" max="7" width="16.54296875" style="22" customWidth="1"/>
    <col min="8" max="8" width="17" style="22" customWidth="1"/>
    <col min="9" max="16384" width="9.08984375" style="22"/>
  </cols>
  <sheetData>
    <row r="2" spans="2:8" ht="18" customHeight="1" x14ac:dyDescent="0.35">
      <c r="B2" s="2" t="s">
        <v>40</v>
      </c>
      <c r="C2" s="2"/>
      <c r="D2" s="2"/>
      <c r="E2" s="2"/>
      <c r="F2" s="2"/>
      <c r="G2" s="2"/>
      <c r="H2" s="2"/>
    </row>
    <row r="4" spans="2:8" ht="18" customHeight="1" x14ac:dyDescent="0.35">
      <c r="B4" s="1" t="s">
        <v>41</v>
      </c>
      <c r="C4" s="1"/>
      <c r="D4" s="1"/>
      <c r="E4" s="1"/>
      <c r="F4" s="1"/>
      <c r="G4" s="1"/>
      <c r="H4" s="1"/>
    </row>
    <row r="6" spans="2:8" ht="18" customHeight="1" x14ac:dyDescent="0.35">
      <c r="B6" s="23" t="s">
        <v>42</v>
      </c>
      <c r="C6" s="23" t="s">
        <v>43</v>
      </c>
      <c r="D6" s="23" t="s">
        <v>44</v>
      </c>
      <c r="E6" s="23" t="s">
        <v>38</v>
      </c>
      <c r="F6" s="23" t="s">
        <v>45</v>
      </c>
      <c r="G6" s="23" t="s">
        <v>46</v>
      </c>
      <c r="H6" s="23" t="s">
        <v>47</v>
      </c>
    </row>
    <row r="7" spans="2:8" ht="18" customHeight="1" x14ac:dyDescent="0.35">
      <c r="B7" s="24" t="s">
        <v>15</v>
      </c>
      <c r="C7" s="24" t="s">
        <v>48</v>
      </c>
      <c r="D7" s="24" t="s">
        <v>49</v>
      </c>
      <c r="E7" s="25">
        <v>45292</v>
      </c>
      <c r="F7" s="24">
        <v>13</v>
      </c>
      <c r="G7" s="25">
        <v>45305</v>
      </c>
      <c r="H7" s="26">
        <v>0.78</v>
      </c>
    </row>
    <row r="8" spans="2:8" ht="18" customHeight="1" x14ac:dyDescent="0.35">
      <c r="B8" s="24" t="s">
        <v>15</v>
      </c>
      <c r="C8" s="24" t="s">
        <v>50</v>
      </c>
      <c r="D8" s="24" t="s">
        <v>51</v>
      </c>
      <c r="E8" s="25">
        <v>45305</v>
      </c>
      <c r="F8" s="24">
        <v>14</v>
      </c>
      <c r="G8" s="25">
        <v>45319</v>
      </c>
      <c r="H8" s="26">
        <v>1</v>
      </c>
    </row>
    <row r="9" spans="2:8" ht="18" customHeight="1" x14ac:dyDescent="0.35">
      <c r="B9" s="24" t="s">
        <v>15</v>
      </c>
      <c r="C9" s="24" t="s">
        <v>52</v>
      </c>
      <c r="D9" s="24" t="s">
        <v>53</v>
      </c>
      <c r="E9" s="25">
        <v>45319</v>
      </c>
      <c r="F9" s="24">
        <v>22</v>
      </c>
      <c r="G9" s="25">
        <v>45341</v>
      </c>
      <c r="H9" s="26">
        <v>0.45</v>
      </c>
    </row>
    <row r="10" spans="2:8" ht="18" customHeight="1" x14ac:dyDescent="0.35">
      <c r="B10" s="24" t="s">
        <v>15</v>
      </c>
      <c r="C10" s="24" t="s">
        <v>54</v>
      </c>
      <c r="D10" s="24" t="s">
        <v>55</v>
      </c>
      <c r="E10" s="25">
        <v>45340</v>
      </c>
      <c r="F10" s="24">
        <v>25</v>
      </c>
      <c r="G10" s="25">
        <v>45365</v>
      </c>
      <c r="H10" s="26">
        <v>0</v>
      </c>
    </row>
    <row r="11" spans="2:8" ht="18" customHeight="1" x14ac:dyDescent="0.35">
      <c r="B11" s="24" t="s">
        <v>16</v>
      </c>
      <c r="C11" s="24" t="s">
        <v>56</v>
      </c>
      <c r="D11" s="24" t="s">
        <v>57</v>
      </c>
      <c r="E11" s="25">
        <v>45293</v>
      </c>
      <c r="F11" s="24">
        <v>18</v>
      </c>
      <c r="G11" s="25">
        <v>45311</v>
      </c>
      <c r="H11" s="26">
        <v>1</v>
      </c>
    </row>
    <row r="12" spans="2:8" ht="18" customHeight="1" x14ac:dyDescent="0.35">
      <c r="B12" s="24" t="s">
        <v>16</v>
      </c>
      <c r="C12" s="24" t="s">
        <v>58</v>
      </c>
      <c r="D12" s="24" t="s">
        <v>59</v>
      </c>
      <c r="E12" s="25">
        <v>45311</v>
      </c>
      <c r="F12" s="24">
        <v>10</v>
      </c>
      <c r="G12" s="25">
        <v>45321</v>
      </c>
      <c r="H12" s="26">
        <v>0.78</v>
      </c>
    </row>
    <row r="13" spans="2:8" ht="18" customHeight="1" x14ac:dyDescent="0.35">
      <c r="B13" s="24" t="s">
        <v>16</v>
      </c>
      <c r="C13" s="24" t="s">
        <v>60</v>
      </c>
      <c r="D13" s="24" t="s">
        <v>61</v>
      </c>
      <c r="E13" s="25">
        <v>45326</v>
      </c>
      <c r="F13" s="24">
        <v>25</v>
      </c>
      <c r="G13" s="25">
        <v>45351</v>
      </c>
      <c r="H13" s="26">
        <v>0</v>
      </c>
    </row>
    <row r="14" spans="2:8" ht="18" customHeight="1" x14ac:dyDescent="0.35">
      <c r="B14" s="24" t="s">
        <v>17</v>
      </c>
      <c r="C14" s="24" t="s">
        <v>62</v>
      </c>
      <c r="D14" s="24" t="s">
        <v>63</v>
      </c>
      <c r="E14" s="25">
        <v>45323</v>
      </c>
      <c r="F14" s="24">
        <v>22</v>
      </c>
      <c r="G14" s="25">
        <v>45345</v>
      </c>
      <c r="H14" s="26">
        <v>1</v>
      </c>
    </row>
    <row r="15" spans="2:8" ht="18" customHeight="1" x14ac:dyDescent="0.35">
      <c r="B15" s="24" t="s">
        <v>17</v>
      </c>
      <c r="C15" s="24" t="s">
        <v>64</v>
      </c>
      <c r="D15" s="24" t="s">
        <v>65</v>
      </c>
      <c r="E15" s="25">
        <v>45346</v>
      </c>
      <c r="F15" s="24">
        <v>25</v>
      </c>
      <c r="G15" s="25">
        <v>45371</v>
      </c>
      <c r="H15" s="26">
        <v>1</v>
      </c>
    </row>
    <row r="16" spans="2:8" ht="18" customHeight="1" x14ac:dyDescent="0.35">
      <c r="B16" s="24" t="s">
        <v>17</v>
      </c>
      <c r="C16" s="24" t="s">
        <v>66</v>
      </c>
      <c r="D16" s="24" t="s">
        <v>67</v>
      </c>
      <c r="E16" s="25">
        <v>45372</v>
      </c>
      <c r="F16" s="24">
        <v>30</v>
      </c>
      <c r="G16" s="25">
        <v>45402</v>
      </c>
      <c r="H16" s="26">
        <v>0</v>
      </c>
    </row>
    <row r="17" spans="2:8" ht="18" customHeight="1" x14ac:dyDescent="0.35">
      <c r="B17" s="24" t="s">
        <v>18</v>
      </c>
      <c r="C17" s="24" t="s">
        <v>68</v>
      </c>
      <c r="D17" s="24" t="s">
        <v>69</v>
      </c>
      <c r="E17" s="25">
        <v>45324</v>
      </c>
      <c r="F17" s="24">
        <v>22</v>
      </c>
      <c r="G17" s="25">
        <v>45346</v>
      </c>
      <c r="H17" s="26">
        <v>0.1</v>
      </c>
    </row>
    <row r="18" spans="2:8" ht="18" customHeight="1" x14ac:dyDescent="0.35">
      <c r="B18" s="24" t="s">
        <v>18</v>
      </c>
      <c r="C18" s="24" t="s">
        <v>70</v>
      </c>
      <c r="D18" s="24" t="s">
        <v>71</v>
      </c>
      <c r="E18" s="25">
        <v>45335</v>
      </c>
      <c r="F18" s="24">
        <v>21</v>
      </c>
      <c r="G18" s="25">
        <v>45331</v>
      </c>
      <c r="H18" s="26">
        <v>0.78</v>
      </c>
    </row>
    <row r="19" spans="2:8" ht="18" customHeight="1" x14ac:dyDescent="0.35">
      <c r="B19" s="24" t="s">
        <v>18</v>
      </c>
      <c r="C19" s="24" t="s">
        <v>72</v>
      </c>
      <c r="D19" s="24" t="s">
        <v>71</v>
      </c>
      <c r="E19" s="25">
        <v>45370</v>
      </c>
      <c r="F19" s="24">
        <v>25</v>
      </c>
      <c r="G19" s="25">
        <v>45395</v>
      </c>
      <c r="H19" s="26">
        <v>1</v>
      </c>
    </row>
    <row r="20" spans="2:8" ht="18" customHeight="1" x14ac:dyDescent="0.35">
      <c r="B20" s="24" t="s">
        <v>19</v>
      </c>
      <c r="C20" s="24" t="s">
        <v>73</v>
      </c>
      <c r="D20" s="24" t="s">
        <v>74</v>
      </c>
      <c r="E20" s="25">
        <v>45293</v>
      </c>
      <c r="F20" s="24">
        <v>23</v>
      </c>
      <c r="G20" s="25">
        <v>45316</v>
      </c>
      <c r="H20" s="26">
        <v>0.5</v>
      </c>
    </row>
    <row r="21" spans="2:8" ht="18" customHeight="1" x14ac:dyDescent="0.35">
      <c r="B21" s="24" t="s">
        <v>19</v>
      </c>
      <c r="C21" s="24" t="s">
        <v>75</v>
      </c>
      <c r="D21" s="24" t="s">
        <v>76</v>
      </c>
      <c r="E21" s="25">
        <v>45317</v>
      </c>
      <c r="F21" s="24">
        <v>32</v>
      </c>
      <c r="G21" s="25">
        <v>45349</v>
      </c>
      <c r="H21" s="26">
        <v>0</v>
      </c>
    </row>
    <row r="22" spans="2:8" ht="18" customHeight="1" x14ac:dyDescent="0.35">
      <c r="B22" s="24" t="s">
        <v>19</v>
      </c>
      <c r="C22" s="24" t="s">
        <v>77</v>
      </c>
      <c r="D22" s="24" t="s">
        <v>78</v>
      </c>
      <c r="E22" s="25">
        <v>45350</v>
      </c>
      <c r="F22" s="24">
        <v>27</v>
      </c>
      <c r="G22" s="25">
        <v>45377</v>
      </c>
      <c r="H22" s="26">
        <v>0</v>
      </c>
    </row>
    <row r="23" spans="2:8" ht="18" customHeight="1" x14ac:dyDescent="0.35">
      <c r="B23" s="24" t="s">
        <v>20</v>
      </c>
      <c r="C23" s="24" t="s">
        <v>79</v>
      </c>
      <c r="D23" s="24" t="s">
        <v>80</v>
      </c>
      <c r="E23" s="25">
        <v>45293</v>
      </c>
      <c r="F23" s="24">
        <v>36</v>
      </c>
      <c r="G23" s="25">
        <v>45329</v>
      </c>
      <c r="H23" s="26">
        <v>1</v>
      </c>
    </row>
    <row r="24" spans="2:8" ht="18" customHeight="1" x14ac:dyDescent="0.35">
      <c r="B24" s="24" t="s">
        <v>20</v>
      </c>
      <c r="C24" s="24" t="s">
        <v>81</v>
      </c>
      <c r="D24" s="24" t="s">
        <v>82</v>
      </c>
      <c r="E24" s="25">
        <v>45330</v>
      </c>
      <c r="F24" s="24">
        <v>34</v>
      </c>
      <c r="G24" s="25">
        <v>45364</v>
      </c>
      <c r="H24" s="26">
        <v>0</v>
      </c>
    </row>
    <row r="25" spans="2:8" ht="18" customHeight="1" x14ac:dyDescent="0.35">
      <c r="B25" s="24" t="s">
        <v>20</v>
      </c>
      <c r="C25" s="24" t="s">
        <v>83</v>
      </c>
      <c r="D25" s="24" t="s">
        <v>84</v>
      </c>
      <c r="E25" s="25">
        <v>45365</v>
      </c>
      <c r="F25" s="24">
        <v>30</v>
      </c>
      <c r="G25" s="25">
        <v>45395</v>
      </c>
      <c r="H25" s="26">
        <v>0</v>
      </c>
    </row>
    <row r="26" spans="2:8" ht="18" customHeight="1" x14ac:dyDescent="0.35">
      <c r="B26" s="24" t="s">
        <v>21</v>
      </c>
      <c r="C26" s="24" t="s">
        <v>85</v>
      </c>
      <c r="D26" s="24" t="s">
        <v>86</v>
      </c>
      <c r="E26" s="25">
        <v>45294</v>
      </c>
      <c r="F26" s="24">
        <v>47</v>
      </c>
      <c r="G26" s="25">
        <v>45341</v>
      </c>
      <c r="H26" s="26">
        <v>0.3</v>
      </c>
    </row>
    <row r="27" spans="2:8" ht="18" customHeight="1" x14ac:dyDescent="0.35">
      <c r="B27" s="24" t="s">
        <v>21</v>
      </c>
      <c r="C27" s="24" t="s">
        <v>87</v>
      </c>
      <c r="D27" s="24" t="s">
        <v>88</v>
      </c>
      <c r="E27" s="25">
        <v>45339</v>
      </c>
      <c r="F27" s="24">
        <v>27</v>
      </c>
      <c r="G27" s="25">
        <v>45366</v>
      </c>
      <c r="H27" s="26">
        <v>0</v>
      </c>
    </row>
    <row r="28" spans="2:8" ht="18" customHeight="1" x14ac:dyDescent="0.35">
      <c r="B28" s="24" t="s">
        <v>21</v>
      </c>
      <c r="C28" s="24" t="s">
        <v>89</v>
      </c>
      <c r="D28" s="24" t="s">
        <v>90</v>
      </c>
      <c r="E28" s="25">
        <v>45365</v>
      </c>
      <c r="F28" s="24">
        <v>22</v>
      </c>
      <c r="G28" s="25">
        <v>45387</v>
      </c>
      <c r="H28" s="26">
        <v>0</v>
      </c>
    </row>
    <row r="29" spans="2:8" ht="18" customHeight="1" x14ac:dyDescent="0.35">
      <c r="B29" s="24" t="s">
        <v>22</v>
      </c>
      <c r="C29" s="24" t="s">
        <v>91</v>
      </c>
      <c r="D29" s="24" t="s">
        <v>92</v>
      </c>
      <c r="E29" s="25">
        <v>45294</v>
      </c>
      <c r="F29" s="24">
        <v>60</v>
      </c>
      <c r="G29" s="25">
        <v>45354</v>
      </c>
      <c r="H29" s="26">
        <v>0.7</v>
      </c>
    </row>
    <row r="30" spans="2:8" ht="18" customHeight="1" x14ac:dyDescent="0.35">
      <c r="B30" s="24" t="s">
        <v>22</v>
      </c>
      <c r="C30" s="24" t="s">
        <v>93</v>
      </c>
      <c r="D30" s="24" t="s">
        <v>94</v>
      </c>
      <c r="E30" s="25">
        <v>45297</v>
      </c>
      <c r="F30" s="24">
        <v>20</v>
      </c>
      <c r="G30" s="25">
        <v>45317</v>
      </c>
      <c r="H30" s="26">
        <v>0.78</v>
      </c>
    </row>
    <row r="31" spans="2:8" ht="18" customHeight="1" x14ac:dyDescent="0.35">
      <c r="B31" s="24" t="s">
        <v>22</v>
      </c>
      <c r="C31" s="24" t="s">
        <v>95</v>
      </c>
      <c r="D31" s="24" t="s">
        <v>96</v>
      </c>
      <c r="E31" s="25">
        <v>45325</v>
      </c>
      <c r="F31" s="24">
        <v>35</v>
      </c>
      <c r="G31" s="25">
        <v>45360</v>
      </c>
      <c r="H31" s="26">
        <v>0</v>
      </c>
    </row>
    <row r="32" spans="2:8" ht="18" customHeight="1" x14ac:dyDescent="0.35">
      <c r="B32" s="24" t="s">
        <v>23</v>
      </c>
      <c r="C32" s="24" t="s">
        <v>97</v>
      </c>
      <c r="D32" s="24" t="s">
        <v>98</v>
      </c>
      <c r="E32" s="25">
        <v>45292</v>
      </c>
      <c r="F32" s="24">
        <v>25</v>
      </c>
      <c r="G32" s="25">
        <v>45317</v>
      </c>
      <c r="H32" s="26">
        <v>1</v>
      </c>
    </row>
    <row r="33" spans="2:8" ht="18" customHeight="1" x14ac:dyDescent="0.35">
      <c r="B33" s="24" t="s">
        <v>23</v>
      </c>
      <c r="C33" s="24" t="s">
        <v>99</v>
      </c>
      <c r="D33" s="24" t="s">
        <v>100</v>
      </c>
      <c r="E33" s="25">
        <v>45318</v>
      </c>
      <c r="F33" s="24">
        <v>31</v>
      </c>
      <c r="G33" s="25">
        <v>45349</v>
      </c>
      <c r="H33" s="26">
        <v>1</v>
      </c>
    </row>
    <row r="34" spans="2:8" ht="18" customHeight="1" x14ac:dyDescent="0.35">
      <c r="B34" s="24" t="s">
        <v>23</v>
      </c>
      <c r="C34" s="24" t="s">
        <v>101</v>
      </c>
      <c r="D34" s="24" t="s">
        <v>102</v>
      </c>
      <c r="E34" s="25">
        <v>45353</v>
      </c>
      <c r="F34" s="24">
        <v>22</v>
      </c>
      <c r="G34" s="25">
        <v>45375</v>
      </c>
      <c r="H34" s="26">
        <v>0</v>
      </c>
    </row>
    <row r="35" spans="2:8" ht="18" customHeight="1" x14ac:dyDescent="0.35">
      <c r="B35" s="24" t="s">
        <v>24</v>
      </c>
      <c r="C35" s="24" t="s">
        <v>103</v>
      </c>
      <c r="D35" s="24" t="s">
        <v>104</v>
      </c>
      <c r="E35" s="25">
        <v>45294</v>
      </c>
      <c r="F35" s="24">
        <v>30</v>
      </c>
      <c r="G35" s="25">
        <v>45324</v>
      </c>
      <c r="H35" s="26">
        <v>0.4</v>
      </c>
    </row>
    <row r="36" spans="2:8" ht="18" customHeight="1" x14ac:dyDescent="0.35">
      <c r="B36" s="24" t="s">
        <v>24</v>
      </c>
      <c r="C36" s="24" t="s">
        <v>105</v>
      </c>
      <c r="D36" s="24" t="s">
        <v>106</v>
      </c>
      <c r="E36" s="25">
        <v>45325</v>
      </c>
      <c r="F36" s="24">
        <v>25</v>
      </c>
      <c r="G36" s="25">
        <v>45350</v>
      </c>
      <c r="H36" s="26">
        <v>0</v>
      </c>
    </row>
    <row r="37" spans="2:8" ht="18" customHeight="1" x14ac:dyDescent="0.35">
      <c r="B37" s="24" t="s">
        <v>24</v>
      </c>
      <c r="C37" s="24" t="s">
        <v>107</v>
      </c>
      <c r="D37" s="24" t="s">
        <v>108</v>
      </c>
      <c r="E37" s="25">
        <v>45351</v>
      </c>
      <c r="F37" s="24">
        <v>20</v>
      </c>
      <c r="G37" s="25">
        <v>45371</v>
      </c>
      <c r="H37" s="26">
        <v>0</v>
      </c>
    </row>
    <row r="38" spans="2:8" ht="18" customHeight="1" x14ac:dyDescent="0.35">
      <c r="B38" s="24" t="s">
        <v>25</v>
      </c>
      <c r="C38" s="24" t="s">
        <v>109</v>
      </c>
      <c r="D38" s="24" t="s">
        <v>59</v>
      </c>
      <c r="E38" s="25">
        <v>45293</v>
      </c>
      <c r="F38" s="24">
        <v>35</v>
      </c>
      <c r="G38" s="25">
        <v>45328</v>
      </c>
      <c r="H38" s="26">
        <v>0.6</v>
      </c>
    </row>
    <row r="39" spans="2:8" ht="18" customHeight="1" x14ac:dyDescent="0.35">
      <c r="B39" s="24" t="s">
        <v>25</v>
      </c>
      <c r="C39" s="24" t="s">
        <v>110</v>
      </c>
      <c r="D39" s="24" t="s">
        <v>111</v>
      </c>
      <c r="E39" s="25">
        <v>45324</v>
      </c>
      <c r="F39" s="24">
        <v>32</v>
      </c>
      <c r="G39" s="25">
        <v>45356</v>
      </c>
      <c r="H39" s="26">
        <v>0</v>
      </c>
    </row>
    <row r="40" spans="2:8" ht="18" customHeight="1" x14ac:dyDescent="0.35">
      <c r="B40" s="24" t="s">
        <v>25</v>
      </c>
      <c r="C40" s="24" t="s">
        <v>112</v>
      </c>
      <c r="D40" s="24" t="s">
        <v>113</v>
      </c>
      <c r="E40" s="25">
        <v>45357</v>
      </c>
      <c r="F40" s="24">
        <v>25</v>
      </c>
      <c r="G40" s="25">
        <v>45382</v>
      </c>
      <c r="H40" s="26">
        <v>0</v>
      </c>
    </row>
    <row r="41" spans="2:8" ht="18" customHeight="1" x14ac:dyDescent="0.35">
      <c r="B41" s="24" t="s">
        <v>26</v>
      </c>
      <c r="C41" s="24" t="s">
        <v>114</v>
      </c>
      <c r="D41" s="24" t="s">
        <v>115</v>
      </c>
      <c r="E41" s="25">
        <v>45295</v>
      </c>
      <c r="F41" s="24">
        <v>27</v>
      </c>
      <c r="G41" s="25">
        <v>45322</v>
      </c>
      <c r="H41" s="26">
        <v>0.8</v>
      </c>
    </row>
    <row r="42" spans="2:8" ht="18" customHeight="1" x14ac:dyDescent="0.35">
      <c r="B42" s="24" t="s">
        <v>26</v>
      </c>
      <c r="C42" s="24" t="s">
        <v>116</v>
      </c>
      <c r="D42" s="24" t="s">
        <v>117</v>
      </c>
      <c r="E42" s="25">
        <v>45319</v>
      </c>
      <c r="F42" s="24">
        <v>30</v>
      </c>
      <c r="G42" s="25">
        <v>45349</v>
      </c>
      <c r="H42" s="26">
        <v>0</v>
      </c>
    </row>
    <row r="43" spans="2:8" ht="18" customHeight="1" x14ac:dyDescent="0.35">
      <c r="B43" s="24" t="s">
        <v>26</v>
      </c>
      <c r="C43" s="24" t="s">
        <v>118</v>
      </c>
      <c r="D43" s="24" t="s">
        <v>119</v>
      </c>
      <c r="E43" s="25">
        <v>45350</v>
      </c>
      <c r="F43" s="24">
        <v>22</v>
      </c>
      <c r="G43" s="25">
        <v>45372</v>
      </c>
      <c r="H43" s="26">
        <v>0</v>
      </c>
    </row>
    <row r="44" spans="2:8" ht="18" customHeight="1" x14ac:dyDescent="0.35">
      <c r="B44" s="24" t="s">
        <v>27</v>
      </c>
      <c r="C44" s="24" t="s">
        <v>120</v>
      </c>
      <c r="D44" s="24" t="s">
        <v>121</v>
      </c>
      <c r="E44" s="25">
        <v>45294</v>
      </c>
      <c r="F44" s="24">
        <v>25</v>
      </c>
      <c r="G44" s="25">
        <v>45319</v>
      </c>
      <c r="H44" s="26">
        <v>0.3</v>
      </c>
    </row>
    <row r="45" spans="2:8" ht="18" customHeight="1" x14ac:dyDescent="0.35">
      <c r="B45" s="24" t="s">
        <v>27</v>
      </c>
      <c r="C45" s="24" t="s">
        <v>122</v>
      </c>
      <c r="D45" s="24" t="s">
        <v>123</v>
      </c>
      <c r="E45" s="25">
        <v>45325</v>
      </c>
      <c r="F45" s="24">
        <v>20</v>
      </c>
      <c r="G45" s="25">
        <v>45345</v>
      </c>
      <c r="H45" s="26">
        <v>0</v>
      </c>
    </row>
    <row r="46" spans="2:8" ht="18" customHeight="1" x14ac:dyDescent="0.35">
      <c r="B46" s="24" t="s">
        <v>27</v>
      </c>
      <c r="C46" s="24" t="s">
        <v>124</v>
      </c>
      <c r="D46" s="24" t="s">
        <v>125</v>
      </c>
      <c r="E46" s="25">
        <v>45346</v>
      </c>
      <c r="F46" s="24">
        <v>35</v>
      </c>
      <c r="G46" s="25">
        <v>45381</v>
      </c>
      <c r="H46" s="26">
        <v>0</v>
      </c>
    </row>
    <row r="47" spans="2:8" ht="18" customHeight="1" x14ac:dyDescent="0.35">
      <c r="B47" s="24" t="s">
        <v>28</v>
      </c>
      <c r="C47" s="24" t="s">
        <v>126</v>
      </c>
      <c r="D47" s="24" t="s">
        <v>127</v>
      </c>
      <c r="E47" s="25">
        <v>45294</v>
      </c>
      <c r="F47" s="24">
        <v>25</v>
      </c>
      <c r="G47" s="25">
        <v>45319</v>
      </c>
      <c r="H47" s="26">
        <v>0.5</v>
      </c>
    </row>
    <row r="48" spans="2:8" ht="18" customHeight="1" x14ac:dyDescent="0.35">
      <c r="B48" s="24" t="s">
        <v>28</v>
      </c>
      <c r="C48" s="24" t="s">
        <v>128</v>
      </c>
      <c r="D48" s="24" t="s">
        <v>129</v>
      </c>
      <c r="E48" s="25">
        <v>45320</v>
      </c>
      <c r="F48" s="24">
        <v>30</v>
      </c>
      <c r="G48" s="25">
        <v>45350</v>
      </c>
      <c r="H48" s="26">
        <v>1</v>
      </c>
    </row>
    <row r="49" spans="2:8" ht="18" customHeight="1" x14ac:dyDescent="0.35">
      <c r="B49" s="24" t="s">
        <v>28</v>
      </c>
      <c r="C49" s="24" t="s">
        <v>130</v>
      </c>
      <c r="D49" s="24" t="s">
        <v>131</v>
      </c>
      <c r="E49" s="25">
        <v>45380</v>
      </c>
      <c r="F49" s="24">
        <v>20</v>
      </c>
      <c r="G49" s="25">
        <v>45400</v>
      </c>
      <c r="H49" s="26">
        <v>0</v>
      </c>
    </row>
    <row r="50" spans="2:8" ht="18" customHeight="1" x14ac:dyDescent="0.35">
      <c r="B50" s="24" t="s">
        <v>29</v>
      </c>
      <c r="C50" s="24" t="s">
        <v>132</v>
      </c>
      <c r="D50" s="24" t="s">
        <v>82</v>
      </c>
      <c r="E50" s="25">
        <v>45293</v>
      </c>
      <c r="F50" s="24">
        <v>25</v>
      </c>
      <c r="G50" s="25">
        <v>45318</v>
      </c>
      <c r="H50" s="26">
        <v>0.2</v>
      </c>
    </row>
    <row r="51" spans="2:8" ht="18" customHeight="1" x14ac:dyDescent="0.35">
      <c r="B51" s="24" t="s">
        <v>29</v>
      </c>
      <c r="C51" s="24" t="s">
        <v>133</v>
      </c>
      <c r="D51" s="24" t="s">
        <v>84</v>
      </c>
      <c r="E51" s="25">
        <v>45324</v>
      </c>
      <c r="F51" s="24">
        <v>22</v>
      </c>
      <c r="G51" s="25">
        <v>45346</v>
      </c>
      <c r="H51" s="26">
        <v>0</v>
      </c>
    </row>
    <row r="52" spans="2:8" ht="18" customHeight="1" x14ac:dyDescent="0.35">
      <c r="B52" s="24" t="s">
        <v>29</v>
      </c>
      <c r="C52" s="24" t="s">
        <v>134</v>
      </c>
      <c r="D52" s="24" t="s">
        <v>135</v>
      </c>
      <c r="E52" s="25">
        <v>45345</v>
      </c>
      <c r="F52" s="24">
        <v>27</v>
      </c>
      <c r="G52" s="25">
        <v>45372</v>
      </c>
      <c r="H52" s="26">
        <v>0</v>
      </c>
    </row>
  </sheetData>
  <mergeCells count="2">
    <mergeCell ref="B2:H2"/>
    <mergeCell ref="B4:H4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Project Management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Seemanto Saha</dc:creator>
  <dc:description/>
  <cp:lastModifiedBy>Dinesh Kumar</cp:lastModifiedBy>
  <cp:revision>1</cp:revision>
  <dcterms:created xsi:type="dcterms:W3CDTF">2024-02-19T11:44:19Z</dcterms:created>
  <dcterms:modified xsi:type="dcterms:W3CDTF">2026-08-17T08:48:47Z</dcterms:modified>
  <dc:language>en-US</dc:language>
</cp:coreProperties>
</file>